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6709b1b4ecf37ccd/Desktop/AI-Governance-Sec-Toolkit/workbook/"/>
    </mc:Choice>
  </mc:AlternateContent>
  <xr:revisionPtr revIDLastSave="2" documentId="14_{A2BE9796-CD14-45DC-A578-9147441EA09D}" xr6:coauthVersionLast="47" xr6:coauthVersionMax="47" xr10:uidLastSave="{8EB10E2B-1973-497B-AFE5-D04E5CB1A590}"/>
  <bookViews>
    <workbookView xWindow="-108" yWindow="-108" windowWidth="23256" windowHeight="12456" xr2:uid="{722C68F3-78EB-4F8F-82D4-18B424461C41}"/>
  </bookViews>
  <sheets>
    <sheet name="Toolkit Cover" sheetId="4" r:id="rId1"/>
    <sheet name="Sector Checklist" sheetId="1" r:id="rId2"/>
    <sheet name="AI Impact Assessment" sheetId="2" r:id="rId3"/>
    <sheet name="Evidence Tracker"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2" i="3" l="1"/>
  <c r="P10" i="3"/>
  <c r="P9" i="3"/>
  <c r="P8" i="3"/>
  <c r="P7" i="3"/>
  <c r="P6" i="3"/>
  <c r="P5" i="3"/>
  <c r="P4" i="3"/>
  <c r="D71" i="2"/>
  <c r="L14" i="1"/>
  <c r="L13" i="1"/>
  <c r="L12" i="1"/>
  <c r="L15" i="1" s="1"/>
  <c r="L11" i="1"/>
  <c r="L10" i="1"/>
  <c r="L9" i="1"/>
  <c r="L8" i="1"/>
  <c r="L7" i="1"/>
  <c r="L6" i="1"/>
  <c r="L5" i="1"/>
  <c r="P11" i="3" l="1"/>
  <c r="L16" i="1"/>
</calcChain>
</file>

<file path=xl/sharedStrings.xml><?xml version="1.0" encoding="utf-8"?>
<sst xmlns="http://schemas.openxmlformats.org/spreadsheetml/2006/main" count="278" uniqueCount="242">
  <si>
    <t>Sector</t>
  </si>
  <si>
    <t>AI Use  Case</t>
  </si>
  <si>
    <t>Primary Risk Areas</t>
  </si>
  <si>
    <t>Key  Governance Questions</t>
  </si>
  <si>
    <t>Security / Compliance Controls</t>
  </si>
  <si>
    <t xml:space="preserve">Evidence to Collect </t>
  </si>
  <si>
    <t>Risk Rating</t>
  </si>
  <si>
    <t>Owner</t>
  </si>
  <si>
    <t>Review Status</t>
  </si>
  <si>
    <t>Notes</t>
  </si>
  <si>
    <t>Healthcare</t>
  </si>
  <si>
    <t>Clinical decision support, patient intake chatbot, medical scheduling assistant, claims support</t>
  </si>
  <si>
    <t>Patient privacy, sensitive health data exposure, biased recommendations, inaccurate outputs, lack of human review</t>
  </si>
  <si>
    <t>Is protected health information being used? Is a clinician or authorized staff member reviewing AI-assisted outputs? Are patients informed when AI is used?</t>
  </si>
  <si>
    <t>Access control, data minimization, logging, human oversight, vendor review, privacy review, role-based permissions</t>
  </si>
  <si>
    <t>Privacy policy, data flow diagram, access logs, vendor security documentation, human review procedure, model/system approval record</t>
  </si>
  <si>
    <t>High</t>
  </si>
  <si>
    <t>Privacy Officer / Compliance Lead / Clinical System Owner</t>
  </si>
  <si>
    <t>Not Started</t>
  </si>
  <si>
    <t>AI systems touching patient data should be treated as high-risk and reviewed before deployment.</t>
  </si>
  <si>
    <t>Finance</t>
  </si>
  <si>
    <t>Fraud detection, credit decision support, customer service chatbot, transaction monitoring, financial advising assistant</t>
  </si>
  <si>
    <t>Discrimination, unfair lending decisions, financial harm, data privacy, model opacity, unauthorized access, third-party vendor risk</t>
  </si>
  <si>
    <t>Could the AI system influence credit, lending, fraud, or financial eligibility decisions? Can the organization explain how AI-assisted decisions are reviewed? Is there a human appeal or review process?</t>
  </si>
  <si>
    <t>Bias testing, access control, audit logging, human review, model validation, vendor risk review, data retention controls, incident response process</t>
  </si>
  <si>
    <t>Model validation report, bias testing results, access logs, customer notice language, vendor assessment, decision review procedure, incident response records</t>
  </si>
  <si>
    <t>Compliance Lead / Risk Manager / Financial System Owner</t>
  </si>
  <si>
    <t>AI systems that affect customer financial outcomes should receive enhanced review and documented oversight.</t>
  </si>
  <si>
    <t>Education</t>
  </si>
  <si>
    <t>Student advising chatbot, automated grading support, tutoring assistant, attendance/risk prediction, admissions support</t>
  </si>
  <si>
    <t>Student privacy, biased recommendations, inaccurate academic guidance, unfair grading support, lack of transparency, overreliance on automation</t>
  </si>
  <si>
    <t>Could the AI system affect student grades, admissions, advising, discipline, or access to educational opportunities? Are students or parents informed when AI is used? Is there human review for AI-assisted decisions?</t>
  </si>
  <si>
    <t>Access control, privacy review, human oversight, data minimization, bias review, audit logging, role-based permissions, student/parent notice</t>
  </si>
  <si>
    <t>Data use policy, student/parent notice language, access logs, grading/advising review procedure, bias review notes, system approval record, vendor documentation</t>
  </si>
  <si>
    <t>Education Program Lead / Compliance Lead / System Owner</t>
  </si>
  <si>
    <t>AI systems that affect student outcomes should be reviewed carefully because they can influence access, opportunity, and academic progress.</t>
  </si>
  <si>
    <t>Government / Public Services</t>
  </si>
  <si>
    <t>Benefits eligibility support, public service chatbot, fraud detection, case prioritization, document review assistant</t>
  </si>
  <si>
    <t>Due process concerns, unfair denial of services, lack of transparency, privacy risks, biased outcomes, weak appeal process, public trust damage</t>
  </si>
  <si>
    <t>Could the AI system affect access to public benefits, services, housing, licensing, law enforcement support, or citizen rights? Is there a clear human review and appeal process? Can the agency explain how AI-assisted decisions are made?</t>
  </si>
  <si>
    <t>Human oversight, audit logging, privacy review, bias testing, access control, decision documentation, appeal process, public notice, vendor review</t>
  </si>
  <si>
    <t>Public notice language, decision review procedure, appeal process documentation, access logs, privacy assessment, bias testing results, vendor documentation, approval record</t>
  </si>
  <si>
    <t>Agency Program Lead / Compliance Officer / System Owner</t>
  </si>
  <si>
    <t>AI systems used in government services should be reviewed carefully because they can affect public rights, benefits, access, and trust.</t>
  </si>
  <si>
    <t>Critical Infrastructure</t>
  </si>
  <si>
    <t>Predictive maintenance, grid monitoring support, industrial control alert triage, operational risk analysis, outage response assistant</t>
  </si>
  <si>
    <t>Operational disruption, unsafe recommendations, cybersecurity compromise, data integrity issues, unauthorized access, overreliance on AI outputs, weak incident response</t>
  </si>
  <si>
    <t>Could the AI system affect safety, reliability, uptime, emergency response, or operational decisions? Is there a human operator reviewing AI-assisted recommendations? Is the AI system separated from direct control of critical systems?</t>
  </si>
  <si>
    <t>Human-in-the-loop review, network segmentation, access control, logging, change management, incident response plan, vendor review, safety review, operational approval</t>
  </si>
  <si>
    <t>Network diagram, access logs, change approval records, incident response procedure, vendor security documentation, human review procedure, safety review notes, system approval record</t>
  </si>
  <si>
    <t>Operations Lead / Security Lead / System Owner</t>
  </si>
  <si>
    <t>AI systems in critical infrastructure should support operators but should not independently control safety-critical or mission-critical systems without strong governance, security, and human oversight.</t>
  </si>
  <si>
    <t>General Business / Internal Operations</t>
  </si>
  <si>
    <t>Internal knowledge assistant, meeting summary tool, document drafting assistant, workflow automation, employee productivity chatbot</t>
  </si>
  <si>
    <t>Confidential data exposure, inaccurate outputs, unauthorized access, weak data handling, overreliance on AI-generated work, poor documentation</t>
  </si>
  <si>
    <t>What types of company data can the AI system access? Are employees trained on appropriate AI use? Is sensitive or confidential information restricted from the tool?</t>
  </si>
  <si>
    <t>Acceptable use policy, access control, data classification, logging, employee training, vendor review, output review, retention controls</t>
  </si>
  <si>
    <t>Unit Lead / IT Lead / Compliance Lead</t>
  </si>
  <si>
    <t>Internal AI tools may appear lower risk, but they still need clear rules for sensitive data, access, retention, and employee use.</t>
  </si>
  <si>
    <t>AI Governance &amp; Security Toolkit — Sector Compliance Checklist</t>
  </si>
  <si>
    <t xml:space="preserve">Checklist Summary </t>
  </si>
  <si>
    <t xml:space="preserve">Total Sectors </t>
  </si>
  <si>
    <t>6</t>
  </si>
  <si>
    <t>High Risk</t>
  </si>
  <si>
    <t>Medium Risk</t>
  </si>
  <si>
    <t>Low Risk</t>
  </si>
  <si>
    <t>Critical Risk</t>
  </si>
  <si>
    <t>Needs Review</t>
  </si>
  <si>
    <t>In-Progress</t>
  </si>
  <si>
    <t>Approved</t>
  </si>
  <si>
    <t>Deferred</t>
  </si>
  <si>
    <t>Needs Follow-Up</t>
  </si>
  <si>
    <t>Review Status summary</t>
  </si>
  <si>
    <t>Low</t>
  </si>
  <si>
    <t>Needs Follow-up</t>
  </si>
  <si>
    <r>
      <t xml:space="preserve">Use this checklist to review AI systems by sector and identify common governance, security, privacy, compliance, and documentation expectations. Each row represents a sector where AI may introduce different levels of risk. Reviewers should update the Risk Rating, Owner, Review Status, and Notes columns as more information becomes available.                                                                                                                                                                                                                                                                                                                                                                                              </t>
    </r>
    <r>
      <rPr>
        <b/>
        <sz val="14"/>
        <color rgb="FF002060"/>
        <rFont val="Aptos Narrow"/>
        <family val="2"/>
        <scheme val="minor"/>
      </rPr>
      <t xml:space="preserve">
1. Identify the sector and AI use case.
2. Review the primary risk areas.
3. Answer the key governance questions.
4. Confirm security and compliance controls.
5. Collect supporting evidence.
6. Assign or confirm the owner.
7. Update the review status.</t>
    </r>
  </si>
  <si>
    <t>Completion %</t>
  </si>
  <si>
    <t>Needs Attention</t>
  </si>
  <si>
    <t>How to Read This Summary</t>
  </si>
  <si>
    <t>This summary provides a quick view of sector review status, risk level, completion percentage, and items that need attention. Completion % is based on Approved reviews divided by Total Sectors. Needs Attention counts items marked In Progress, Needs Review, or Needs Follow-Up.</t>
  </si>
  <si>
    <t>AI Governance &amp; Security Toolkit — AI Impact Assessment Template</t>
  </si>
  <si>
    <t>Section 1: AI System Overview</t>
  </si>
  <si>
    <t>AI System Name</t>
  </si>
  <si>
    <t>Business Unit</t>
  </si>
  <si>
    <t>System Owner</t>
  </si>
  <si>
    <t>AI Use Case / Purpose</t>
  </si>
  <si>
    <t>AI Type</t>
  </si>
  <si>
    <t>Vendor / Platform</t>
  </si>
  <si>
    <t>Deployment Status</t>
  </si>
  <si>
    <t>Assessment Date</t>
  </si>
  <si>
    <t>Reviewer</t>
  </si>
  <si>
    <t>Section 2: Data &amp; Privacy Review</t>
  </si>
  <si>
    <t>Data Used by AI System</t>
  </si>
  <si>
    <t>Data Source</t>
  </si>
  <si>
    <t>Data Sensitivity</t>
  </si>
  <si>
    <t>Personal Data Involved?</t>
  </si>
  <si>
    <t>Sensitive Data Involved?</t>
  </si>
  <si>
    <t>Data Minimization Reviewed?</t>
  </si>
  <si>
    <t>Data Retention Defined?</t>
  </si>
  <si>
    <t>Privacy Review Completed?</t>
  </si>
  <si>
    <t>Privacy Notes</t>
  </si>
  <si>
    <t>No</t>
  </si>
  <si>
    <t>Unknown</t>
  </si>
  <si>
    <t>Human Review Required?</t>
  </si>
  <si>
    <t>Human Reviewer Role</t>
  </si>
  <si>
    <t>Final Decision Made by Human?</t>
  </si>
  <si>
    <t>Appeal or Escalation Process Exists?</t>
  </si>
  <si>
    <t>Accountability Owner</t>
  </si>
  <si>
    <t>Oversight Frequency</t>
  </si>
  <si>
    <t>Oversight Notes</t>
  </si>
  <si>
    <t>Medium</t>
  </si>
  <si>
    <t>Critical</t>
  </si>
  <si>
    <t>In Progress</t>
  </si>
  <si>
    <t>Section 4: Fairness, Bias &amp; Transparency</t>
  </si>
  <si>
    <t>Bias Testing Completed?</t>
  </si>
  <si>
    <t>Fairness Review Completed?</t>
  </si>
  <si>
    <t>Explainability / Transparency Available?</t>
  </si>
  <si>
    <t>User Notice Provided?</t>
  </si>
  <si>
    <t>High-Impact Decision Involved?</t>
  </si>
  <si>
    <t>Known Limitations Documented?</t>
  </si>
  <si>
    <t>Fairness / Transparency Notes</t>
  </si>
  <si>
    <t>Section 5: Security &amp; Access Review</t>
  </si>
  <si>
    <t>Section 3:Human Oversight &amp; Accountability</t>
  </si>
  <si>
    <t>Access Controls Implemented?</t>
  </si>
  <si>
    <t>Role-Based Access Defined?</t>
  </si>
  <si>
    <t>Logging / Monitoring Enabled?</t>
  </si>
  <si>
    <t>Vendor Security Review Completed?</t>
  </si>
  <si>
    <t>Incident Response Plan Updated?</t>
  </si>
  <si>
    <t>Prompt Injection / Misuse Risk Reviewed?</t>
  </si>
  <si>
    <t>Security Notes</t>
  </si>
  <si>
    <t>Section 6: Overall Assessment &amp; Decision</t>
  </si>
  <si>
    <t>Overall Risk Rating</t>
  </si>
  <si>
    <t>Assessment Decision</t>
  </si>
  <si>
    <t>Required Actions</t>
  </si>
  <si>
    <t>Target Remediation Date</t>
  </si>
  <si>
    <t>Approval Owner</t>
  </si>
  <si>
    <t>Final Notes</t>
  </si>
  <si>
    <t>In Development</t>
  </si>
  <si>
    <t>Instructions</t>
  </si>
  <si>
    <t>Use this template to assess one AI system at a time. Complete each section using available system information, vendor documentation, privacy review notes, security review results, and stakeholder input. Fields marked Unknown should be followed up before final approval. The Overall Assessment &amp; Decision section should summarize the final risk level, approval decision, required actions, and remediation timeline.</t>
  </si>
  <si>
    <t>Assessment Completion Checklist</t>
  </si>
  <si>
    <t>AI system overview completed</t>
  </si>
  <si>
    <t>Data and privacy review completed</t>
  </si>
  <si>
    <t>Human oversight reviewed</t>
  </si>
  <si>
    <t>Fairness, bias, and transparency reviewed</t>
  </si>
  <si>
    <t>Security and access controls reviewed</t>
  </si>
  <si>
    <t>Overall risk rating assigned</t>
  </si>
  <si>
    <t>Final decision documented</t>
  </si>
  <si>
    <t>Required actions documented</t>
  </si>
  <si>
    <t>Status</t>
  </si>
  <si>
    <t>Completion Score</t>
  </si>
  <si>
    <t>AI Governance &amp; Security Toolkit — Evidence Tracker</t>
  </si>
  <si>
    <t>Evidence ID</t>
  </si>
  <si>
    <t>Related AI System</t>
  </si>
  <si>
    <t>Related Control / Requirement</t>
  </si>
  <si>
    <t>Evidence Type</t>
  </si>
  <si>
    <t>Evidence Description</t>
  </si>
  <si>
    <t>Evidence Owner</t>
  </si>
  <si>
    <t>Request Date</t>
  </si>
  <si>
    <t>Due Date</t>
  </si>
  <si>
    <t>Received Date</t>
  </si>
  <si>
    <t>Evidence Status</t>
  </si>
  <si>
    <t>Review Result</t>
  </si>
  <si>
    <t>Storage Location / Link</t>
  </si>
  <si>
    <t>EV-001</t>
  </si>
  <si>
    <t>Customer Support Copilot</t>
  </si>
  <si>
    <t>Human Oversight</t>
  </si>
  <si>
    <t>Policy / Procedure</t>
  </si>
  <si>
    <t>Procedure showing how human agents review AI-assisted responses before customer action is taken.</t>
  </si>
  <si>
    <t>Customer Support Lead</t>
  </si>
  <si>
    <t>Requested</t>
  </si>
  <si>
    <t>Pending Review</t>
  </si>
  <si>
    <t>Needed to verify human-in-the-loop process.</t>
  </si>
  <si>
    <t>EV-002</t>
  </si>
  <si>
    <t>Resume Screening Model</t>
  </si>
  <si>
    <t>Bias / Fairness Review</t>
  </si>
  <si>
    <t>Test Result</t>
  </si>
  <si>
    <t>Bias testing results showing whether candidate screening outcomes were reviewed for fairness.</t>
  </si>
  <si>
    <t>HR Lead</t>
  </si>
  <si>
    <t>High-impact employment use case.</t>
  </si>
  <si>
    <t>EV-003</t>
  </si>
  <si>
    <t>Security Alert Triage Assistant</t>
  </si>
  <si>
    <t>Logging / Monitoring</t>
  </si>
  <si>
    <t>Screenshot / Log Export</t>
  </si>
  <si>
    <t>Evidence that AI-assisted alert triage activity is logged and reviewable by security staff.</t>
  </si>
  <si>
    <t>Security Lead</t>
  </si>
  <si>
    <t>Supports auditability and incident investigation.</t>
  </si>
  <si>
    <t>EV-004</t>
  </si>
  <si>
    <t>Internal Knowledge Assistant</t>
  </si>
  <si>
    <t>Data Privacy</t>
  </si>
  <si>
    <t>Acceptable use or data handling policy showing what internal data may be entered into the AI tool.</t>
  </si>
  <si>
    <t>Compliance Lead</t>
  </si>
  <si>
    <t>Confirms rules for sensitive company data.</t>
  </si>
  <si>
    <t>EV-005</t>
  </si>
  <si>
    <t>Marketing Content Generator</t>
  </si>
  <si>
    <t>User Notice / Transparency</t>
  </si>
  <si>
    <t>Documentation</t>
  </si>
  <si>
    <t>Documentation explaining when AI-generated content requires review, labeling, or approval.</t>
  </si>
  <si>
    <t>Marketing Lead</t>
  </si>
  <si>
    <t>Lower risk but still needs documentation.</t>
  </si>
  <si>
    <t>EV-006</t>
  </si>
  <si>
    <t>Vendor AI Platform</t>
  </si>
  <si>
    <t>Vendor Risk Review</t>
  </si>
  <si>
    <t>Vendor Documentation</t>
  </si>
  <si>
    <t>Vendor security, privacy, or compliance documentation for third-party AI platform review.</t>
  </si>
  <si>
    <t>IT / Vendor Manager</t>
  </si>
  <si>
    <t>Supports third-party AI risk review.</t>
  </si>
  <si>
    <t>Missing</t>
  </si>
  <si>
    <t>Not Requested</t>
  </si>
  <si>
    <t>Received</t>
  </si>
  <si>
    <t>In Review</t>
  </si>
  <si>
    <t>Accepted</t>
  </si>
  <si>
    <t>Sufficient</t>
  </si>
  <si>
    <t>Insufficient</t>
  </si>
  <si>
    <t>Not Applicable</t>
  </si>
  <si>
    <t>Evidence Summary</t>
  </si>
  <si>
    <t>Total Evidence Items</t>
  </si>
  <si>
    <t>How to Use This Tracker</t>
  </si>
  <si>
    <t>Use this tracker to document the evidence requested, received, reviewed, and accepted for AI governance, security, privacy, and compliance activities. Each evidence item should be tied to an AI system, control, requirement, owner, status, review result, and storage location or link.</t>
  </si>
  <si>
    <t>AI Governance &amp; Security Toolkit</t>
  </si>
  <si>
    <t>Companion Artifact Workbook for AI Governance, Security, Audit Readiness, and Compliance Documentation</t>
  </si>
  <si>
    <t>Workbook Contents</t>
  </si>
  <si>
    <t>1. Sector Compliance Checklist</t>
  </si>
  <si>
    <t>2. AI Impact Assessment Template</t>
  </si>
  <si>
    <t>3. Evidence Tracker</t>
  </si>
  <si>
    <t>Purpose</t>
  </si>
  <si>
    <t>This workbook is part of an AI Governance, Risk, Compliance, and Security portfolio project. It provides practical templates to help review AI systems, identify governance and security risks, document oversight activities, and track evidence for audit readiness.</t>
  </si>
  <si>
    <t>Disclaimer</t>
  </si>
  <si>
    <t>This workbook is a portfolio and educational resource designed to demonstrate AI governance, security, audit, and compliance concepts. It is not legal advice, an official compliance determination, or a substitute for review by qualified legal, security, privacy, or compliance professionals.</t>
  </si>
  <si>
    <t>Version Information</t>
  </si>
  <si>
    <t>Workbook Version</t>
  </si>
  <si>
    <t>Prepared By</t>
  </si>
  <si>
    <t>Date Prepared</t>
  </si>
  <si>
    <t>Project Type</t>
  </si>
  <si>
    <t>v1.0</t>
  </si>
  <si>
    <t>Rubin Fletcher</t>
  </si>
  <si>
    <t>AI GRC / Security Portfolio Artifact</t>
  </si>
  <si>
    <t>How to Use This Workbook</t>
  </si>
  <si>
    <t>1. Start with the Sector Compliance Checklist to understand sector-level AI risk areas.</t>
  </si>
  <si>
    <t>2. Use the AI Impact Assessment Template to review one AI system at a time.</t>
  </si>
  <si>
    <t>3. Use the Evidence Tracker to document supporting proof, review results, and audit readiness.</t>
  </si>
  <si>
    <t>4. Update review statuses, risk ratings, evidence status, and completion scores as work progresses.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</si>
</sst>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11"/>
      <color theme="1"/>
      <name val="Aptos Narrow"/>
      <family val="2"/>
      <scheme val="minor"/>
    </font>
    <font>
      <b/>
      <sz val="12"/>
      <color theme="0"/>
      <name val="Aptos Narrow"/>
      <family val="2"/>
      <scheme val="minor"/>
    </font>
    <font>
      <sz val="12"/>
      <color theme="1"/>
      <name val="Aptos Narrow"/>
      <family val="2"/>
      <scheme val="minor"/>
    </font>
    <font>
      <b/>
      <sz val="11"/>
      <color rgb="FF002060"/>
      <name val="Aptos Narrow"/>
      <family val="2"/>
      <scheme val="minor"/>
    </font>
    <font>
      <b/>
      <sz val="14"/>
      <color rgb="FF002060"/>
      <name val="Aptos Narrow"/>
      <family val="2"/>
      <scheme val="minor"/>
    </font>
    <font>
      <sz val="11"/>
      <color rgb="FF002060"/>
      <name val="Aptos Narrow"/>
      <family val="2"/>
      <scheme val="minor"/>
    </font>
    <font>
      <b/>
      <sz val="18"/>
      <color rgb="FF002060"/>
      <name val="Aptos Narrow"/>
      <family val="2"/>
      <scheme val="minor"/>
    </font>
    <font>
      <b/>
      <sz val="16"/>
      <color theme="0"/>
      <name val="Aptos Narrow"/>
      <family val="2"/>
      <scheme val="minor"/>
    </font>
    <font>
      <b/>
      <sz val="14"/>
      <color theme="0"/>
      <name val="Aptos Narrow"/>
      <family val="2"/>
      <scheme val="minor"/>
    </font>
    <font>
      <b/>
      <sz val="18"/>
      <color theme="0"/>
      <name val="Aptos Narrow"/>
      <family val="2"/>
      <scheme val="minor"/>
    </font>
    <font>
      <b/>
      <i/>
      <sz val="12"/>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0" tint="-0.49998474074526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top style="medium">
        <color indexed="64"/>
      </top>
      <bottom style="thin">
        <color indexed="64"/>
      </bottom>
      <diagonal/>
    </border>
  </borders>
  <cellStyleXfs count="2">
    <xf numFmtId="0" fontId="0" fillId="0" borderId="0"/>
    <xf numFmtId="9" fontId="4" fillId="0" borderId="0" applyFont="0" applyFill="0" applyBorder="0" applyAlignment="0" applyProtection="0"/>
  </cellStyleXfs>
  <cellXfs count="107">
    <xf numFmtId="0" fontId="0" fillId="0" borderId="0" xfId="0"/>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2" xfId="0" applyBorder="1"/>
    <xf numFmtId="0" fontId="0" fillId="0" borderId="0" xfId="0"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xf numFmtId="0" fontId="2" fillId="0" borderId="1" xfId="0" applyFont="1" applyBorder="1" applyAlignment="1">
      <alignment horizontal="center" vertical="center"/>
    </xf>
    <xf numFmtId="0" fontId="0" fillId="3" borderId="1" xfId="0" applyFill="1" applyBorder="1"/>
    <xf numFmtId="0" fontId="0" fillId="3" borderId="1" xfId="0" applyFill="1" applyBorder="1" applyAlignment="1">
      <alignment horizontal="center" vertical="center"/>
    </xf>
    <xf numFmtId="0" fontId="2" fillId="0" borderId="1" xfId="0" applyFont="1" applyBorder="1" applyAlignment="1">
      <alignment vertical="top" wrapText="1"/>
    </xf>
    <xf numFmtId="0" fontId="6" fillId="0" borderId="1" xfId="0" applyFont="1" applyBorder="1" applyAlignment="1">
      <alignment horizontal="center" vertical="center"/>
    </xf>
    <xf numFmtId="10" fontId="6" fillId="0" borderId="1" xfId="1" applyNumberFormat="1" applyFont="1" applyBorder="1" applyAlignment="1">
      <alignment horizontal="center" vertical="center" wrapText="1"/>
    </xf>
    <xf numFmtId="0" fontId="0" fillId="0" borderId="0" xfId="0" applyAlignment="1">
      <alignment wrapText="1"/>
    </xf>
    <xf numFmtId="0" fontId="0" fillId="0" borderId="1" xfId="0" applyBorder="1" applyAlignment="1">
      <alignment vertical="center"/>
    </xf>
    <xf numFmtId="0" fontId="2" fillId="0" borderId="1" xfId="0" applyFont="1" applyBorder="1" applyAlignment="1">
      <alignment wrapText="1"/>
    </xf>
    <xf numFmtId="0" fontId="2" fillId="0" borderId="1" xfId="0" applyFont="1"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top"/>
    </xf>
    <xf numFmtId="0" fontId="2" fillId="0" borderId="0" xfId="0" applyFont="1" applyAlignment="1">
      <alignment wrapText="1"/>
    </xf>
    <xf numFmtId="0" fontId="2" fillId="0" borderId="1" xfId="0" applyFont="1" applyBorder="1" applyAlignment="1">
      <alignment vertical="center" wrapText="1"/>
    </xf>
    <xf numFmtId="9" fontId="2" fillId="0" borderId="1" xfId="1" applyFont="1" applyBorder="1" applyAlignment="1">
      <alignment horizontal="center" vertical="center"/>
    </xf>
    <xf numFmtId="0" fontId="0" fillId="0" borderId="10" xfId="0" applyBorder="1" applyAlignment="1">
      <alignment vertical="center" wrapText="1"/>
    </xf>
    <xf numFmtId="0" fontId="0" fillId="0" borderId="11" xfId="0" applyBorder="1" applyAlignment="1">
      <alignment vertical="center"/>
    </xf>
    <xf numFmtId="0" fontId="0" fillId="0" borderId="10" xfId="0" applyBorder="1" applyAlignment="1">
      <alignment wrapText="1"/>
    </xf>
    <xf numFmtId="0" fontId="0" fillId="0" borderId="11" xfId="0" applyBorder="1"/>
    <xf numFmtId="0" fontId="2" fillId="0" borderId="10" xfId="0" applyFont="1" applyBorder="1" applyAlignment="1">
      <alignment horizontal="left" vertical="top" wrapText="1"/>
    </xf>
    <xf numFmtId="0" fontId="0" fillId="0" borderId="11" xfId="0" applyBorder="1" applyAlignment="1">
      <alignment horizontal="left" vertical="top"/>
    </xf>
    <xf numFmtId="0" fontId="2" fillId="0" borderId="11" xfId="0" applyFont="1" applyBorder="1" applyAlignment="1">
      <alignment horizontal="left" vertical="top"/>
    </xf>
    <xf numFmtId="0" fontId="2" fillId="0" borderId="11" xfId="0" applyFont="1" applyBorder="1" applyAlignment="1">
      <alignment horizontal="left" vertical="top" wrapText="1"/>
    </xf>
    <xf numFmtId="0" fontId="3" fillId="0" borderId="10" xfId="0" applyFont="1" applyBorder="1" applyAlignment="1">
      <alignment wrapText="1"/>
    </xf>
    <xf numFmtId="0" fontId="2" fillId="0" borderId="10" xfId="0" applyFont="1" applyBorder="1" applyAlignment="1">
      <alignment wrapText="1"/>
    </xf>
    <xf numFmtId="0" fontId="2" fillId="0" borderId="12" xfId="0" applyFont="1" applyBorder="1" applyAlignment="1">
      <alignment wrapText="1"/>
    </xf>
    <xf numFmtId="0" fontId="0" fillId="0" borderId="13" xfId="0" applyBorder="1"/>
    <xf numFmtId="0" fontId="0" fillId="0" borderId="14" xfId="0" applyBorder="1"/>
    <xf numFmtId="0" fontId="2" fillId="2" borderId="1" xfId="0" applyFont="1" applyFill="1" applyBorder="1" applyAlignment="1">
      <alignment horizontal="left" vertical="top" wrapText="1"/>
    </xf>
    <xf numFmtId="0" fontId="2" fillId="2" borderId="1" xfId="0" applyFont="1" applyFill="1" applyBorder="1" applyAlignment="1">
      <alignment wrapText="1"/>
    </xf>
    <xf numFmtId="0" fontId="2" fillId="2" borderId="13" xfId="0" applyFont="1" applyFill="1" applyBorder="1" applyAlignment="1">
      <alignment wrapText="1"/>
    </xf>
    <xf numFmtId="9" fontId="2" fillId="2" borderId="11" xfId="1" applyFont="1" applyFill="1" applyBorder="1" applyAlignment="1">
      <alignment horizontal="center" vertical="center"/>
    </xf>
    <xf numFmtId="0" fontId="5" fillId="4" borderId="0" xfId="0" applyFont="1" applyFill="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10" xfId="0" applyBorder="1" applyAlignment="1">
      <alignment horizontal="center" vertical="center" wrapText="1"/>
    </xf>
    <xf numFmtId="0" fontId="0" fillId="0" borderId="19" xfId="0" applyBorder="1" applyAlignment="1">
      <alignment horizontal="center" vertical="center" wrapText="1"/>
    </xf>
    <xf numFmtId="0" fontId="2" fillId="0" borderId="1" xfId="0" applyFont="1" applyBorder="1" applyAlignment="1">
      <alignment horizontal="center" vertical="top" wrapText="1"/>
    </xf>
    <xf numFmtId="17" fontId="2" fillId="0" borderId="1" xfId="0" applyNumberFormat="1" applyFont="1" applyBorder="1" applyAlignment="1">
      <alignment horizontal="center" vertical="top" wrapText="1"/>
    </xf>
    <xf numFmtId="0" fontId="2" fillId="0" borderId="10" xfId="0" applyFont="1" applyBorder="1" applyAlignment="1">
      <alignment horizontal="center" vertical="center" wrapText="1"/>
    </xf>
    <xf numFmtId="0" fontId="2" fillId="0" borderId="0" xfId="0" applyFont="1" applyAlignment="1">
      <alignment horizontal="center"/>
    </xf>
    <xf numFmtId="0" fontId="1" fillId="0" borderId="0" xfId="0" applyFont="1" applyAlignment="1">
      <alignment horizontal="center" vertical="top" wrapText="1"/>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12" fillId="4" borderId="15"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20"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0" fillId="5" borderId="4" xfId="0" applyFill="1" applyBorder="1" applyAlignment="1">
      <alignment horizontal="center" vertical="center"/>
    </xf>
    <xf numFmtId="0" fontId="0" fillId="5" borderId="9" xfId="0" applyFill="1" applyBorder="1" applyAlignment="1">
      <alignment horizontal="center" vertical="center"/>
    </xf>
    <xf numFmtId="0" fontId="0" fillId="5" borderId="3" xfId="0" applyFill="1" applyBorder="1" applyAlignment="1">
      <alignment horizontal="center" vertical="center"/>
    </xf>
    <xf numFmtId="0" fontId="12" fillId="4" borderId="15" xfId="0" applyFont="1" applyFill="1" applyBorder="1" applyAlignment="1">
      <alignment horizontal="center" vertical="center"/>
    </xf>
    <xf numFmtId="0" fontId="12" fillId="4" borderId="0" xfId="0" applyFont="1" applyFill="1" applyAlignment="1">
      <alignment horizontal="center" vertical="center"/>
    </xf>
    <xf numFmtId="0" fontId="12" fillId="4" borderId="20" xfId="0" applyFont="1" applyFill="1" applyBorder="1" applyAlignment="1">
      <alignment horizontal="center" vertical="center"/>
    </xf>
    <xf numFmtId="0" fontId="2" fillId="0" borderId="10" xfId="0" applyFont="1" applyBorder="1" applyAlignment="1">
      <alignment horizontal="center" vertical="top" wrapText="1"/>
    </xf>
    <xf numFmtId="0" fontId="2" fillId="0" borderId="1" xfId="0" applyFont="1" applyBorder="1" applyAlignment="1">
      <alignment horizontal="center" vertical="top" wrapText="1"/>
    </xf>
    <xf numFmtId="0" fontId="2" fillId="0" borderId="11" xfId="0" applyFont="1" applyBorder="1" applyAlignment="1">
      <alignment horizontal="center" vertical="top" wrapText="1"/>
    </xf>
    <xf numFmtId="0" fontId="2" fillId="0" borderId="12"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12" fillId="4" borderId="10" xfId="0" applyFont="1" applyFill="1" applyBorder="1" applyAlignment="1">
      <alignment horizontal="center" wrapText="1"/>
    </xf>
    <xf numFmtId="0" fontId="12" fillId="4" borderId="1" xfId="0" applyFont="1" applyFill="1" applyBorder="1" applyAlignment="1">
      <alignment horizontal="center" wrapText="1"/>
    </xf>
    <xf numFmtId="0" fontId="12" fillId="4" borderId="11" xfId="0" applyFont="1" applyFill="1" applyBorder="1" applyAlignment="1">
      <alignment horizontal="center" wrapText="1"/>
    </xf>
    <xf numFmtId="0" fontId="13" fillId="4" borderId="16" xfId="0" applyFont="1" applyFill="1" applyBorder="1" applyAlignment="1">
      <alignment horizontal="center" wrapText="1"/>
    </xf>
    <xf numFmtId="0" fontId="13" fillId="4" borderId="17" xfId="0" applyFont="1" applyFill="1" applyBorder="1" applyAlignment="1">
      <alignment horizontal="center" wrapText="1"/>
    </xf>
    <xf numFmtId="0" fontId="13" fillId="4" borderId="18" xfId="0" applyFont="1" applyFill="1" applyBorder="1" applyAlignment="1">
      <alignment horizontal="center" wrapText="1"/>
    </xf>
    <xf numFmtId="0" fontId="14" fillId="0" borderId="10" xfId="0" applyFont="1" applyBorder="1" applyAlignment="1">
      <alignment horizontal="center" wrapText="1"/>
    </xf>
    <xf numFmtId="0" fontId="14" fillId="0" borderId="1" xfId="0" applyFont="1" applyBorder="1" applyAlignment="1">
      <alignment horizontal="center" wrapText="1"/>
    </xf>
    <xf numFmtId="0" fontId="14" fillId="0" borderId="11" xfId="0" applyFont="1" applyBorder="1" applyAlignment="1">
      <alignment horizontal="center" wrapText="1"/>
    </xf>
    <xf numFmtId="0" fontId="2" fillId="0" borderId="10"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1" xfId="0" applyFont="1" applyBorder="1" applyAlignment="1">
      <alignment horizontal="center" vertical="center" wrapText="1"/>
    </xf>
    <xf numFmtId="0" fontId="12" fillId="4" borderId="10" xfId="0" applyFont="1" applyFill="1" applyBorder="1" applyAlignment="1">
      <alignment horizontal="center" vertical="center"/>
    </xf>
    <xf numFmtId="0" fontId="12" fillId="4" borderId="1" xfId="0" applyFont="1" applyFill="1" applyBorder="1" applyAlignment="1">
      <alignment horizontal="center" vertical="center"/>
    </xf>
    <xf numFmtId="0" fontId="12" fillId="4" borderId="11" xfId="0" applyFont="1" applyFill="1" applyBorder="1" applyAlignment="1">
      <alignment horizontal="center" vertical="center"/>
    </xf>
    <xf numFmtId="0" fontId="12" fillId="4" borderId="10"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10" fillId="2" borderId="1" xfId="0" applyFont="1" applyFill="1" applyBorder="1" applyAlignment="1">
      <alignment horizontal="center"/>
    </xf>
    <xf numFmtId="0" fontId="7" fillId="2" borderId="1" xfId="0" applyFont="1" applyFill="1" applyBorder="1" applyAlignment="1">
      <alignment horizontal="center" vertical="top" wrapText="1"/>
    </xf>
    <xf numFmtId="0" fontId="3" fillId="0" borderId="10" xfId="0" applyFont="1"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2" fillId="4" borderId="10" xfId="0" applyFont="1" applyFill="1" applyBorder="1" applyAlignment="1">
      <alignment horizontal="center" vertical="top" wrapText="1"/>
    </xf>
    <xf numFmtId="0" fontId="12" fillId="4" borderId="1" xfId="0" applyFont="1" applyFill="1" applyBorder="1" applyAlignment="1">
      <alignment horizontal="center" vertical="top" wrapText="1"/>
    </xf>
    <xf numFmtId="0" fontId="12" fillId="4" borderId="11" xfId="0" applyFont="1" applyFill="1" applyBorder="1" applyAlignment="1">
      <alignment horizontal="center" vertical="top" wrapText="1"/>
    </xf>
  </cellXfs>
  <cellStyles count="2">
    <cellStyle name="Normal" xfId="0" builtinId="0"/>
    <cellStyle name="Percent" xfId="1" builtinId="5"/>
  </cellStyles>
  <dxfs count="82">
    <dxf>
      <fill>
        <patternFill>
          <bgColor rgb="FF00B050"/>
        </patternFill>
      </fill>
    </dxf>
    <dxf>
      <fill>
        <patternFill>
          <bgColor rgb="FFFFFF00"/>
        </patternFill>
      </fill>
    </dxf>
    <dxf>
      <fill>
        <patternFill>
          <bgColor rgb="FFCC3300"/>
        </patternFill>
      </fill>
    </dxf>
    <dxf>
      <fill>
        <patternFill>
          <bgColor theme="0" tint="-0.499984740745262"/>
        </patternFill>
      </fill>
    </dxf>
    <dxf>
      <fill>
        <patternFill>
          <bgColor rgb="FF00B050"/>
        </patternFill>
      </fill>
    </dxf>
    <dxf>
      <fill>
        <patternFill>
          <bgColor rgb="FF00B0F0"/>
        </patternFill>
      </fill>
    </dxf>
    <dxf>
      <fill>
        <patternFill>
          <bgColor rgb="FFFFFF00"/>
        </patternFill>
      </fill>
    </dxf>
    <dxf>
      <fill>
        <patternFill>
          <bgColor rgb="FFFFFF66"/>
        </patternFill>
      </fill>
    </dxf>
    <dxf>
      <fill>
        <patternFill>
          <bgColor rgb="FFFFC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theme="0" tint="-0.499984740745262"/>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theme="2"/>
        </patternFill>
      </fill>
    </dxf>
    <dxf>
      <font>
        <color rgb="FF9C0006"/>
      </font>
      <fill>
        <patternFill>
          <bgColor rgb="FFFFC7CE"/>
        </patternFill>
      </fill>
    </dxf>
    <dxf>
      <fill>
        <patternFill>
          <bgColor rgb="FFFFC000"/>
        </patternFill>
      </fill>
    </dxf>
    <dxf>
      <fill>
        <patternFill>
          <bgColor theme="0" tint="-0.24994659260841701"/>
        </patternFill>
      </fill>
    </dxf>
    <dxf>
      <fill>
        <patternFill>
          <bgColor rgb="FF00B050"/>
        </patternFill>
      </fill>
    </dxf>
    <dxf>
      <fill>
        <patternFill>
          <bgColor rgb="FFFFFF00"/>
        </patternFill>
      </fill>
    </dxf>
    <dxf>
      <fill>
        <patternFill>
          <bgColor rgb="FFFFC000"/>
        </patternFill>
      </fill>
    </dxf>
    <dxf>
      <fill>
        <patternFill>
          <bgColor theme="0" tint="-0.499984740745262"/>
        </patternFill>
      </fill>
    </dxf>
    <dxf>
      <fill>
        <patternFill>
          <bgColor theme="0" tint="-0.14996795556505021"/>
        </patternFill>
      </fill>
    </dxf>
    <dxf>
      <fill>
        <patternFill>
          <bgColor rgb="FF00B0F0"/>
        </patternFill>
      </fill>
    </dxf>
    <dxf>
      <fill>
        <patternFill>
          <bgColor theme="0" tint="-0.14996795556505021"/>
        </patternFill>
      </fill>
    </dxf>
    <dxf>
      <fill>
        <patternFill>
          <bgColor rgb="FFFFC000"/>
        </patternFill>
      </fill>
    </dxf>
    <dxf>
      <fill>
        <patternFill>
          <bgColor rgb="FFFF0000"/>
        </patternFill>
      </fill>
    </dxf>
    <dxf>
      <fill>
        <patternFill>
          <bgColor rgb="FFFFFF00"/>
        </patternFill>
      </fill>
    </dxf>
    <dxf>
      <fill>
        <patternFill>
          <bgColor rgb="FF00B050"/>
        </patternFill>
      </fill>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medium">
          <color indexed="64"/>
        </left>
        <right style="medium">
          <color indexed="64"/>
        </right>
        <top style="thin">
          <color indexed="64"/>
        </top>
        <bottom style="medium">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1"/>
        <name val="Aptos Narrow"/>
        <family val="2"/>
        <scheme val="minor"/>
      </font>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border outline="0">
        <bottom style="medium">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theme="0" tint="-0.499984740745262"/>
        </patternFill>
      </fill>
      <alignment horizontal="center" vertical="center" textRotation="0" wrapText="1" indent="0" justifyLastLine="0" shrinkToFit="0" readingOrder="0"/>
    </dxf>
  </dxfs>
  <tableStyles count="0" defaultTableStyle="TableStyleMedium2" defaultPivotStyle="PivotStyleLight16"/>
  <colors>
    <mruColors>
      <color rgb="FFCC33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A7666F-E605-458A-939B-FAD2F3832AA1}" name="Table5" displayName="Table5" ref="A4:L16" totalsRowShown="0" headerRowDxfId="65" dataDxfId="63" headerRowBorderDxfId="64" tableBorderDxfId="62" totalsRowBorderDxfId="61">
  <autoFilter ref="A4:L16" xr:uid="{B2A7666F-E605-458A-939B-FAD2F3832AA1}"/>
  <tableColumns count="12">
    <tableColumn id="1" xr3:uid="{554C4AAE-FE46-4FA3-AB92-D4064C3A9897}" name="Sector" dataDxfId="60"/>
    <tableColumn id="2" xr3:uid="{77C084B7-8CB7-41ED-B678-BD93DE761B45}" name="AI Use  Case" dataDxfId="59"/>
    <tableColumn id="3" xr3:uid="{D125BF5E-47E1-43DC-B808-164DE5F74E34}" name="Primary Risk Areas" dataDxfId="58"/>
    <tableColumn id="4" xr3:uid="{0DE10A6F-15DE-4CB8-B4D9-78C137A6BEEC}" name="Key  Governance Questions" dataDxfId="57"/>
    <tableColumn id="5" xr3:uid="{086D09FA-F351-4BA5-9D9F-7DC19DBF1F2E}" name="Security / Compliance Controls" dataDxfId="56"/>
    <tableColumn id="6" xr3:uid="{DD9BDDAB-6F82-45A3-A0FF-F7BFCA3B2786}" name="Evidence to Collect " dataDxfId="55"/>
    <tableColumn id="7" xr3:uid="{4C3DB254-EF70-4484-8E9A-C4D1FB183C14}" name="Risk Rating" dataDxfId="54"/>
    <tableColumn id="8" xr3:uid="{882FB263-0D7E-4D13-AD4A-4C3E1A4BC30E}" name="Owner" dataDxfId="53"/>
    <tableColumn id="9" xr3:uid="{44AFCC4E-9741-4E8A-8B71-3324AB7BFF28}" name="Review Status" dataDxfId="52"/>
    <tableColumn id="10" xr3:uid="{CC461416-61DF-4FCC-A631-4D14597C52DD}" name="Notes" dataDxfId="51"/>
    <tableColumn id="11" xr3:uid="{4DB70C39-AE2A-475E-8A48-57F38A451CC5}" name="Total Sectors " dataDxfId="50"/>
    <tableColumn id="12" xr3:uid="{C4FD938B-E630-43D1-A9F3-40826A866341}" name="6"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3D9AAE-E97A-491B-8A8B-699158A3C79C}" name="Table2" displayName="Table2" ref="A3:M9" totalsRowShown="0" headerRowDxfId="81" dataDxfId="80" tableBorderDxfId="79">
  <autoFilter ref="A3:M9" xr:uid="{7B3D9AAE-E97A-491B-8A8B-699158A3C79C}"/>
  <tableColumns count="13">
    <tableColumn id="1" xr3:uid="{547B7B8A-15D4-4039-9431-8A6D5A36607B}" name="Evidence ID" dataDxfId="78"/>
    <tableColumn id="2" xr3:uid="{146AA5A3-4F22-41B0-8867-50307149F404}" name="Related AI System" dataDxfId="77"/>
    <tableColumn id="3" xr3:uid="{E64D7C34-3411-4CD7-81CF-19B925B9EBBB}" name="Related Control / Requirement" dataDxfId="76"/>
    <tableColumn id="4" xr3:uid="{5D53A932-2DB5-4C21-8A40-CB10E4826750}" name="Evidence Type" dataDxfId="75"/>
    <tableColumn id="5" xr3:uid="{863A1AEA-C0DC-4B2A-AFF8-1817A271B76B}" name="Evidence Description" dataDxfId="74"/>
    <tableColumn id="6" xr3:uid="{FCD1D254-F166-492F-BAA0-8C035EF8CC5B}" name="Evidence Owner" dataDxfId="73"/>
    <tableColumn id="7" xr3:uid="{09B5C12A-E100-401B-BF52-9620968602D2}" name="Request Date" dataDxfId="72"/>
    <tableColumn id="8" xr3:uid="{783D757E-AD2E-4D71-8532-12F9408DA5EB}" name="Due Date" dataDxfId="71"/>
    <tableColumn id="9" xr3:uid="{B1F67DE6-F2D6-4334-AC84-71BB4FFBC023}" name="Received Date" dataDxfId="70"/>
    <tableColumn id="10" xr3:uid="{C502EF56-0708-42FD-BE6B-185AF30EE120}" name="Evidence Status" dataDxfId="69"/>
    <tableColumn id="11" xr3:uid="{523F717E-FE48-49AC-BD16-98CD991BA988}" name="Review Result" dataDxfId="68"/>
    <tableColumn id="12" xr3:uid="{39A6AAE9-775F-4131-A2D9-11CAC1D5269B}" name="Storage Location / Link" dataDxfId="67"/>
    <tableColumn id="13" xr3:uid="{F1C11FB1-3A5F-4052-8DB3-BC9C3985B852}" name="Notes" dataDxfId="6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FA82-781F-4369-9EBE-ADB502E81712}">
  <dimension ref="A1:D22"/>
  <sheetViews>
    <sheetView tabSelected="1" workbookViewId="0">
      <selection activeCell="A14" sqref="A14:XFD14"/>
    </sheetView>
  </sheetViews>
  <sheetFormatPr defaultRowHeight="14.4" x14ac:dyDescent="0.3"/>
  <cols>
    <col min="1" max="1" width="27.109375" customWidth="1"/>
    <col min="2" max="2" width="21.21875" customWidth="1"/>
    <col min="4" max="4" width="98.33203125" customWidth="1"/>
  </cols>
  <sheetData>
    <row r="1" spans="1:4" ht="23.4" x14ac:dyDescent="0.45">
      <c r="A1" s="79" t="s">
        <v>219</v>
      </c>
      <c r="B1" s="80"/>
      <c r="C1" s="80"/>
      <c r="D1" s="81"/>
    </row>
    <row r="2" spans="1:4" ht="15.6" x14ac:dyDescent="0.3">
      <c r="A2" s="82" t="s">
        <v>220</v>
      </c>
      <c r="B2" s="83"/>
      <c r="C2" s="83"/>
      <c r="D2" s="84"/>
    </row>
    <row r="3" spans="1:4" ht="15.6" x14ac:dyDescent="0.3">
      <c r="A3" s="53" t="s">
        <v>221</v>
      </c>
      <c r="B3" s="12"/>
      <c r="C3" s="12"/>
      <c r="D3" s="31"/>
    </row>
    <row r="4" spans="1:4" ht="15.6" x14ac:dyDescent="0.3">
      <c r="A4" s="53"/>
      <c r="B4" s="12"/>
      <c r="C4" s="12"/>
      <c r="D4" s="31"/>
    </row>
    <row r="5" spans="1:4" ht="31.2" x14ac:dyDescent="0.3">
      <c r="A5" s="53" t="s">
        <v>222</v>
      </c>
      <c r="B5" s="12"/>
      <c r="C5" s="12"/>
      <c r="D5" s="31"/>
    </row>
    <row r="6" spans="1:4" ht="31.2" x14ac:dyDescent="0.3">
      <c r="A6" s="53" t="s">
        <v>223</v>
      </c>
      <c r="B6" s="12"/>
      <c r="C6" s="12"/>
      <c r="D6" s="31"/>
    </row>
    <row r="7" spans="1:4" ht="15.6" x14ac:dyDescent="0.3">
      <c r="A7" s="53" t="s">
        <v>224</v>
      </c>
      <c r="B7" s="12"/>
      <c r="C7" s="12"/>
      <c r="D7" s="31"/>
    </row>
    <row r="8" spans="1:4" ht="15.6" x14ac:dyDescent="0.3">
      <c r="A8" s="53"/>
      <c r="B8" s="12"/>
      <c r="C8" s="12"/>
      <c r="D8" s="31"/>
    </row>
    <row r="9" spans="1:4" ht="15.6" x14ac:dyDescent="0.3">
      <c r="A9" s="53" t="s">
        <v>225</v>
      </c>
      <c r="B9" s="12"/>
      <c r="C9" s="12"/>
      <c r="D9" s="31"/>
    </row>
    <row r="10" spans="1:4" ht="60" customHeight="1" x14ac:dyDescent="0.3">
      <c r="A10" s="85" t="s">
        <v>226</v>
      </c>
      <c r="B10" s="86"/>
      <c r="C10" s="86"/>
      <c r="D10" s="87"/>
    </row>
    <row r="11" spans="1:4" ht="18" x14ac:dyDescent="0.3">
      <c r="A11" s="88" t="s">
        <v>227</v>
      </c>
      <c r="B11" s="89"/>
      <c r="C11" s="89"/>
      <c r="D11" s="90"/>
    </row>
    <row r="12" spans="1:4" ht="40.200000000000003" customHeight="1" x14ac:dyDescent="0.3">
      <c r="A12" s="70" t="s">
        <v>228</v>
      </c>
      <c r="B12" s="71"/>
      <c r="C12" s="71"/>
      <c r="D12" s="72"/>
    </row>
    <row r="13" spans="1:4" ht="18" x14ac:dyDescent="0.3">
      <c r="A13" s="91" t="s">
        <v>229</v>
      </c>
      <c r="B13" s="92"/>
      <c r="C13" s="92"/>
      <c r="D13" s="93"/>
    </row>
    <row r="14" spans="1:4" ht="15.6" x14ac:dyDescent="0.3">
      <c r="A14" s="37" t="s">
        <v>230</v>
      </c>
      <c r="B14" s="51" t="s">
        <v>234</v>
      </c>
      <c r="C14" s="12"/>
      <c r="D14" s="31"/>
    </row>
    <row r="15" spans="1:4" ht="15.6" x14ac:dyDescent="0.3">
      <c r="A15" s="37" t="s">
        <v>231</v>
      </c>
      <c r="B15" s="51" t="s">
        <v>235</v>
      </c>
      <c r="C15" s="12"/>
      <c r="D15" s="31"/>
    </row>
    <row r="16" spans="1:4" ht="15.6" x14ac:dyDescent="0.3">
      <c r="A16" s="37" t="s">
        <v>232</v>
      </c>
      <c r="B16" s="52">
        <v>46143</v>
      </c>
      <c r="C16" s="12"/>
      <c r="D16" s="31"/>
    </row>
    <row r="17" spans="1:4" ht="31.2" x14ac:dyDescent="0.3">
      <c r="A17" s="37" t="s">
        <v>233</v>
      </c>
      <c r="B17" s="51" t="s">
        <v>236</v>
      </c>
      <c r="C17" s="12"/>
      <c r="D17" s="31"/>
    </row>
    <row r="18" spans="1:4" ht="18" x14ac:dyDescent="0.35">
      <c r="A18" s="76" t="s">
        <v>237</v>
      </c>
      <c r="B18" s="77"/>
      <c r="C18" s="77"/>
      <c r="D18" s="78"/>
    </row>
    <row r="19" spans="1:4" ht="18.600000000000001" customHeight="1" x14ac:dyDescent="0.3">
      <c r="A19" s="70" t="s">
        <v>238</v>
      </c>
      <c r="B19" s="71"/>
      <c r="C19" s="71"/>
      <c r="D19" s="72"/>
    </row>
    <row r="20" spans="1:4" ht="18.600000000000001" customHeight="1" x14ac:dyDescent="0.3">
      <c r="A20" s="70" t="s">
        <v>239</v>
      </c>
      <c r="B20" s="71"/>
      <c r="C20" s="71"/>
      <c r="D20" s="72"/>
    </row>
    <row r="21" spans="1:4" ht="21.6" customHeight="1" x14ac:dyDescent="0.3">
      <c r="A21" s="70" t="s">
        <v>240</v>
      </c>
      <c r="B21" s="71"/>
      <c r="C21" s="71"/>
      <c r="D21" s="72"/>
    </row>
    <row r="22" spans="1:4" ht="17.399999999999999" customHeight="1" thickBot="1" x14ac:dyDescent="0.35">
      <c r="A22" s="73" t="s">
        <v>241</v>
      </c>
      <c r="B22" s="74"/>
      <c r="C22" s="74"/>
      <c r="D22" s="75"/>
    </row>
  </sheetData>
  <mergeCells count="11">
    <mergeCell ref="A13:D13"/>
    <mergeCell ref="A1:D1"/>
    <mergeCell ref="A2:D2"/>
    <mergeCell ref="A10:D10"/>
    <mergeCell ref="A11:D11"/>
    <mergeCell ref="A12:D12"/>
    <mergeCell ref="A19:D19"/>
    <mergeCell ref="A20:D20"/>
    <mergeCell ref="A21:D21"/>
    <mergeCell ref="A22:D22"/>
    <mergeCell ref="A18: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7CAF-2CA1-44B1-BE92-1C71DF467BB3}">
  <dimension ref="A1:T19"/>
  <sheetViews>
    <sheetView zoomScale="50" zoomScaleNormal="50" workbookViewId="0">
      <pane ySplit="2" topLeftCell="A3" activePane="bottomLeft" state="frozen"/>
      <selection pane="bottomLeft" activeCell="L6" sqref="L6"/>
    </sheetView>
  </sheetViews>
  <sheetFormatPr defaultRowHeight="14.4" x14ac:dyDescent="0.3"/>
  <cols>
    <col min="1" max="1" width="15.5546875" customWidth="1"/>
    <col min="2" max="2" width="26.33203125" customWidth="1"/>
    <col min="3" max="3" width="34.77734375" customWidth="1"/>
    <col min="4" max="4" width="43.21875" customWidth="1"/>
    <col min="5" max="5" width="32.5546875" customWidth="1"/>
    <col min="6" max="6" width="34.44140625" customWidth="1"/>
    <col min="7" max="7" width="13" customWidth="1"/>
    <col min="8" max="8" width="29.33203125" customWidth="1"/>
    <col min="9" max="9" width="15.77734375" customWidth="1"/>
    <col min="10" max="10" width="61" customWidth="1"/>
    <col min="11" max="11" width="31.33203125" customWidth="1"/>
    <col min="12" max="12" width="20.77734375" style="7" customWidth="1"/>
  </cols>
  <sheetData>
    <row r="1" spans="1:20" ht="23.4" x14ac:dyDescent="0.45">
      <c r="A1" s="96" t="s">
        <v>59</v>
      </c>
      <c r="B1" s="96"/>
      <c r="C1" s="96"/>
      <c r="D1" s="96"/>
      <c r="E1" s="96"/>
      <c r="F1" s="96"/>
      <c r="G1" s="96"/>
      <c r="H1" s="96"/>
      <c r="I1" s="96"/>
      <c r="J1" s="96"/>
      <c r="K1" s="96"/>
      <c r="L1" s="9"/>
      <c r="M1" s="6"/>
      <c r="N1" s="6"/>
      <c r="O1" s="6"/>
      <c r="P1" s="6"/>
      <c r="Q1" s="6"/>
      <c r="R1" s="6"/>
      <c r="S1" s="6"/>
      <c r="T1" s="6"/>
    </row>
    <row r="2" spans="1:20" ht="36" x14ac:dyDescent="0.3">
      <c r="A2" s="10" t="s">
        <v>0</v>
      </c>
      <c r="B2" s="10" t="s">
        <v>1</v>
      </c>
      <c r="C2" s="10" t="s">
        <v>2</v>
      </c>
      <c r="D2" s="10" t="s">
        <v>3</v>
      </c>
      <c r="E2" s="10" t="s">
        <v>4</v>
      </c>
      <c r="F2" s="10" t="s">
        <v>5</v>
      </c>
      <c r="G2" s="10" t="s">
        <v>6</v>
      </c>
      <c r="H2" s="10" t="s">
        <v>7</v>
      </c>
      <c r="I2" s="10" t="s">
        <v>8</v>
      </c>
      <c r="J2" s="10" t="s">
        <v>9</v>
      </c>
      <c r="K2" s="10" t="s">
        <v>60</v>
      </c>
      <c r="L2" s="10" t="s">
        <v>72</v>
      </c>
    </row>
    <row r="3" spans="1:20" ht="163.80000000000001" customHeight="1" x14ac:dyDescent="0.3">
      <c r="A3" s="97" t="s">
        <v>75</v>
      </c>
      <c r="B3" s="97"/>
      <c r="C3" s="97"/>
      <c r="D3" s="97"/>
      <c r="E3" s="97"/>
      <c r="F3" s="97"/>
      <c r="G3" s="97"/>
      <c r="H3" s="97"/>
      <c r="I3" s="97"/>
      <c r="J3" s="97"/>
      <c r="K3" s="97"/>
      <c r="L3" s="97"/>
    </row>
    <row r="4" spans="1:20" ht="35.4" customHeight="1" x14ac:dyDescent="0.3">
      <c r="A4" s="16" t="s">
        <v>0</v>
      </c>
      <c r="B4" s="16" t="s">
        <v>1</v>
      </c>
      <c r="C4" s="16" t="s">
        <v>2</v>
      </c>
      <c r="D4" s="16" t="s">
        <v>3</v>
      </c>
      <c r="E4" s="16" t="s">
        <v>4</v>
      </c>
      <c r="F4" s="16" t="s">
        <v>5</v>
      </c>
      <c r="G4" s="16" t="s">
        <v>6</v>
      </c>
      <c r="H4" s="16" t="s">
        <v>7</v>
      </c>
      <c r="I4" s="16" t="s">
        <v>8</v>
      </c>
      <c r="J4" s="1" t="s">
        <v>9</v>
      </c>
      <c r="K4" s="16" t="s">
        <v>61</v>
      </c>
      <c r="L4" s="8" t="s">
        <v>62</v>
      </c>
    </row>
    <row r="5" spans="1:20" ht="78" x14ac:dyDescent="0.3">
      <c r="A5" s="1" t="s">
        <v>10</v>
      </c>
      <c r="B5" s="11" t="s">
        <v>11</v>
      </c>
      <c r="C5" s="11" t="s">
        <v>12</v>
      </c>
      <c r="D5" s="11" t="s">
        <v>13</v>
      </c>
      <c r="E5" s="11" t="s">
        <v>14</v>
      </c>
      <c r="F5" s="11" t="s">
        <v>15</v>
      </c>
      <c r="G5" s="11" t="s">
        <v>16</v>
      </c>
      <c r="H5" s="11" t="s">
        <v>17</v>
      </c>
      <c r="I5" s="11" t="s">
        <v>18</v>
      </c>
      <c r="J5" s="11" t="s">
        <v>19</v>
      </c>
      <c r="K5" s="11" t="s">
        <v>63</v>
      </c>
      <c r="L5" s="11">
        <f>COUNTIF(G5:G10,"High")</f>
        <v>2</v>
      </c>
    </row>
    <row r="6" spans="1:20" ht="93.6" x14ac:dyDescent="0.3">
      <c r="A6" s="1" t="s">
        <v>20</v>
      </c>
      <c r="B6" s="11" t="s">
        <v>21</v>
      </c>
      <c r="C6" s="11" t="s">
        <v>22</v>
      </c>
      <c r="D6" s="11" t="s">
        <v>23</v>
      </c>
      <c r="E6" s="11" t="s">
        <v>24</v>
      </c>
      <c r="F6" s="11" t="s">
        <v>25</v>
      </c>
      <c r="G6" s="11" t="s">
        <v>16</v>
      </c>
      <c r="H6" s="11" t="s">
        <v>26</v>
      </c>
      <c r="I6" s="11" t="s">
        <v>112</v>
      </c>
      <c r="J6" s="11" t="s">
        <v>27</v>
      </c>
      <c r="K6" s="11" t="s">
        <v>64</v>
      </c>
      <c r="L6" s="11">
        <f>COUNTIF(G5:G10,"Medium")</f>
        <v>2</v>
      </c>
    </row>
    <row r="7" spans="1:20" ht="78" x14ac:dyDescent="0.3">
      <c r="A7" s="1" t="s">
        <v>28</v>
      </c>
      <c r="B7" s="11" t="s">
        <v>29</v>
      </c>
      <c r="C7" s="11" t="s">
        <v>30</v>
      </c>
      <c r="D7" s="11" t="s">
        <v>31</v>
      </c>
      <c r="E7" s="11" t="s">
        <v>32</v>
      </c>
      <c r="F7" s="11" t="s">
        <v>33</v>
      </c>
      <c r="G7" s="11" t="s">
        <v>110</v>
      </c>
      <c r="H7" s="11" t="s">
        <v>34</v>
      </c>
      <c r="I7" s="11" t="s">
        <v>67</v>
      </c>
      <c r="J7" s="11" t="s">
        <v>35</v>
      </c>
      <c r="K7" s="11" t="s">
        <v>65</v>
      </c>
      <c r="L7" s="11">
        <f>COUNTIF(G5:G10,"Low")</f>
        <v>1</v>
      </c>
    </row>
    <row r="8" spans="1:20" ht="93.6" x14ac:dyDescent="0.3">
      <c r="A8" s="1" t="s">
        <v>36</v>
      </c>
      <c r="B8" s="11" t="s">
        <v>37</v>
      </c>
      <c r="C8" s="11" t="s">
        <v>38</v>
      </c>
      <c r="D8" s="11" t="s">
        <v>39</v>
      </c>
      <c r="E8" s="11" t="s">
        <v>40</v>
      </c>
      <c r="F8" s="11" t="s">
        <v>41</v>
      </c>
      <c r="G8" s="11" t="s">
        <v>110</v>
      </c>
      <c r="H8" s="11" t="s">
        <v>42</v>
      </c>
      <c r="I8" s="11" t="s">
        <v>69</v>
      </c>
      <c r="J8" s="11" t="s">
        <v>43</v>
      </c>
      <c r="K8" s="11" t="s">
        <v>66</v>
      </c>
      <c r="L8" s="11">
        <f>COUNTIF(G5:G10,"Critical")</f>
        <v>1</v>
      </c>
    </row>
    <row r="9" spans="1:20" ht="93.6" x14ac:dyDescent="0.3">
      <c r="A9" s="1" t="s">
        <v>44</v>
      </c>
      <c r="B9" s="11" t="s">
        <v>45</v>
      </c>
      <c r="C9" s="11" t="s">
        <v>46</v>
      </c>
      <c r="D9" s="11" t="s">
        <v>47</v>
      </c>
      <c r="E9" s="11" t="s">
        <v>48</v>
      </c>
      <c r="F9" s="11" t="s">
        <v>49</v>
      </c>
      <c r="G9" s="11" t="s">
        <v>111</v>
      </c>
      <c r="H9" s="11" t="s">
        <v>50</v>
      </c>
      <c r="I9" s="11" t="s">
        <v>70</v>
      </c>
      <c r="J9" s="11" t="s">
        <v>51</v>
      </c>
      <c r="K9" s="11" t="s">
        <v>18</v>
      </c>
      <c r="L9" s="11">
        <f>COUNTIF(I5:I10,"Not Started")</f>
        <v>1</v>
      </c>
    </row>
    <row r="10" spans="1:20" ht="93.6" x14ac:dyDescent="0.3">
      <c r="A10" s="1" t="s">
        <v>52</v>
      </c>
      <c r="B10" s="11" t="s">
        <v>53</v>
      </c>
      <c r="C10" s="11" t="s">
        <v>54</v>
      </c>
      <c r="D10" s="11" t="s">
        <v>55</v>
      </c>
      <c r="E10" s="11" t="s">
        <v>56</v>
      </c>
      <c r="F10" s="11" t="s">
        <v>56</v>
      </c>
      <c r="G10" s="11" t="s">
        <v>73</v>
      </c>
      <c r="H10" s="11" t="s">
        <v>57</v>
      </c>
      <c r="I10" s="11" t="s">
        <v>74</v>
      </c>
      <c r="J10" s="11" t="s">
        <v>58</v>
      </c>
      <c r="K10" s="11" t="s">
        <v>68</v>
      </c>
      <c r="L10" s="11">
        <f>COUNTIF(I5:I10,"In Progress")</f>
        <v>1</v>
      </c>
    </row>
    <row r="11" spans="1:20" ht="15.6" x14ac:dyDescent="0.3">
      <c r="A11" s="13"/>
      <c r="B11" s="17"/>
      <c r="C11" s="17"/>
      <c r="D11" s="17"/>
      <c r="E11" s="17"/>
      <c r="F11" s="17"/>
      <c r="G11" s="17"/>
      <c r="H11" s="17"/>
      <c r="I11" s="17"/>
      <c r="J11" s="17"/>
      <c r="K11" s="17" t="s">
        <v>67</v>
      </c>
      <c r="L11" s="17">
        <f>COUNTIF(I5:I10,"Needs Review")</f>
        <v>1</v>
      </c>
    </row>
    <row r="12" spans="1:20" ht="15.6" x14ac:dyDescent="0.3">
      <c r="A12" s="13"/>
      <c r="B12" s="17"/>
      <c r="C12" s="17"/>
      <c r="D12" s="17"/>
      <c r="E12" s="17"/>
      <c r="F12" s="17"/>
      <c r="G12" s="17"/>
      <c r="H12" s="17"/>
      <c r="I12" s="17"/>
      <c r="J12" s="17"/>
      <c r="K12" s="17" t="s">
        <v>69</v>
      </c>
      <c r="L12" s="17">
        <f>COUNTIF(I5:I10,"Approved")</f>
        <v>1</v>
      </c>
    </row>
    <row r="13" spans="1:20" ht="15.6" x14ac:dyDescent="0.3">
      <c r="A13" s="13"/>
      <c r="B13" s="17"/>
      <c r="C13" s="17"/>
      <c r="D13" s="17"/>
      <c r="E13" s="17"/>
      <c r="F13" s="17"/>
      <c r="G13" s="17"/>
      <c r="H13" s="17"/>
      <c r="I13" s="17"/>
      <c r="J13" s="17"/>
      <c r="K13" s="17" t="s">
        <v>70</v>
      </c>
      <c r="L13" s="17">
        <f>COUNTIF(I5:I10,"Deferred")</f>
        <v>1</v>
      </c>
    </row>
    <row r="14" spans="1:20" ht="15.6" x14ac:dyDescent="0.3">
      <c r="A14" s="13"/>
      <c r="B14" s="17"/>
      <c r="C14" s="17"/>
      <c r="D14" s="17"/>
      <c r="E14" s="17"/>
      <c r="F14" s="17"/>
      <c r="G14" s="17"/>
      <c r="H14" s="17"/>
      <c r="I14" s="17"/>
      <c r="J14" s="17"/>
      <c r="K14" s="17" t="s">
        <v>71</v>
      </c>
      <c r="L14" s="17">
        <f>COUNTIF(I5:I10,"Needs Follow-Up")</f>
        <v>1</v>
      </c>
    </row>
    <row r="15" spans="1:20" ht="15.6" x14ac:dyDescent="0.3">
      <c r="A15" s="1"/>
      <c r="B15" s="11"/>
      <c r="C15" s="11"/>
      <c r="D15" s="11"/>
      <c r="E15" s="11"/>
      <c r="F15" s="11"/>
      <c r="G15" s="11"/>
      <c r="H15" s="11"/>
      <c r="I15" s="11"/>
      <c r="J15" s="11"/>
      <c r="K15" s="11" t="s">
        <v>76</v>
      </c>
      <c r="L15" s="18">
        <f>L12/L4</f>
        <v>0.16666666666666666</v>
      </c>
    </row>
    <row r="16" spans="1:20" ht="15.6" x14ac:dyDescent="0.3">
      <c r="A16" s="1"/>
      <c r="B16" s="11"/>
      <c r="C16" s="11"/>
      <c r="D16" s="11"/>
      <c r="E16" s="11"/>
      <c r="F16" s="11"/>
      <c r="G16" s="11"/>
      <c r="H16" s="11"/>
      <c r="I16" s="11"/>
      <c r="J16" s="11"/>
      <c r="K16" s="11" t="s">
        <v>77</v>
      </c>
      <c r="L16" s="11">
        <f>L10+L11+L14</f>
        <v>3</v>
      </c>
    </row>
    <row r="17" spans="1:12" x14ac:dyDescent="0.3">
      <c r="A17" s="14"/>
      <c r="B17" s="14"/>
      <c r="C17" s="14"/>
      <c r="D17" s="14"/>
      <c r="E17" s="14"/>
      <c r="F17" s="14"/>
      <c r="G17" s="14"/>
      <c r="H17" s="14"/>
      <c r="I17" s="14"/>
      <c r="J17" s="14"/>
      <c r="K17" s="14"/>
      <c r="L17" s="15"/>
    </row>
    <row r="18" spans="1:12" ht="15.6" x14ac:dyDescent="0.3">
      <c r="A18" s="14"/>
      <c r="B18" s="14"/>
      <c r="C18" s="14"/>
      <c r="D18" s="14"/>
      <c r="E18" s="14"/>
      <c r="F18" s="14"/>
      <c r="G18" s="14"/>
      <c r="H18" s="14"/>
      <c r="I18" s="95" t="s">
        <v>78</v>
      </c>
      <c r="J18" s="95"/>
      <c r="K18" s="95"/>
      <c r="L18" s="95"/>
    </row>
    <row r="19" spans="1:12" ht="115.2" customHeight="1" x14ac:dyDescent="0.3">
      <c r="A19" s="14"/>
      <c r="B19" s="14"/>
      <c r="C19" s="14"/>
      <c r="D19" s="14"/>
      <c r="E19" s="14"/>
      <c r="F19" s="14"/>
      <c r="G19" s="14"/>
      <c r="H19" s="14"/>
      <c r="I19" s="94" t="s">
        <v>79</v>
      </c>
      <c r="J19" s="94"/>
      <c r="K19" s="94"/>
      <c r="L19" s="94"/>
    </row>
  </sheetData>
  <mergeCells count="4">
    <mergeCell ref="I19:L19"/>
    <mergeCell ref="I18:L18"/>
    <mergeCell ref="A1:K1"/>
    <mergeCell ref="A3:L3"/>
  </mergeCells>
  <conditionalFormatting sqref="G5:G16">
    <cfRule type="containsText" dxfId="48" priority="1" operator="containsText" text="Low">
      <formula>NOT(ISERROR(SEARCH("Low",G5)))</formula>
    </cfRule>
    <cfRule type="containsText" dxfId="47" priority="2" operator="containsText" text="Medium">
      <formula>NOT(ISERROR(SEARCH("Medium",G5)))</formula>
    </cfRule>
    <cfRule type="containsText" dxfId="46" priority="3" operator="containsText" text="Critical">
      <formula>NOT(ISERROR(SEARCH("Critical",G5)))</formula>
    </cfRule>
    <cfRule type="containsText" dxfId="45" priority="4" operator="containsText" text="High">
      <formula>NOT(ISERROR(SEARCH("High",G5)))</formula>
    </cfRule>
  </conditionalFormatting>
  <conditionalFormatting sqref="I5">
    <cfRule type="containsText" dxfId="44" priority="14" operator="containsText" text="Not Started">
      <formula>NOT(ISERROR(SEARCH("Not Started",I5)))</formula>
    </cfRule>
  </conditionalFormatting>
  <conditionalFormatting sqref="I5:I16">
    <cfRule type="containsText" dxfId="43" priority="5" operator="containsText" text="In Progress">
      <formula>NOT(ISERROR(SEARCH("In Progress",I5)))</formula>
    </cfRule>
    <cfRule type="containsText" dxfId="42" priority="6" operator="containsText" text="Not Started">
      <formula>NOT(ISERROR(SEARCH("Not Started",I5)))</formula>
    </cfRule>
    <cfRule type="containsText" dxfId="41" priority="7" operator="containsText" text="Deferred">
      <formula>NOT(ISERROR(SEARCH("Deferred",I5)))</formula>
    </cfRule>
    <cfRule type="containsText" dxfId="40" priority="8" operator="containsText" text="Needs Follow-up">
      <formula>NOT(ISERROR(SEARCH("Needs Follow-up",I5)))</formula>
    </cfRule>
    <cfRule type="containsText" dxfId="39" priority="9" operator="containsText" text="Needs Review">
      <formula>NOT(ISERROR(SEARCH("Needs Review",I5)))</formula>
    </cfRule>
    <cfRule type="containsText" dxfId="38" priority="10" operator="containsText" text="Approved">
      <formula>NOT(ISERROR(SEARCH("Approved",I5)))</formula>
    </cfRule>
    <cfRule type="containsText" dxfId="37" priority="11" operator="containsText" text="Not Started">
      <formula>NOT(ISERROR(SEARCH("Not Started",I5)))</formula>
    </cfRule>
    <cfRule type="containsText" dxfId="36" priority="12" operator="containsText" text="Needs Follow-up">
      <formula>NOT(ISERROR(SEARCH("Needs Follow-up",I5)))</formula>
    </cfRule>
    <cfRule type="containsText" dxfId="35" priority="13" operator="containsText" text="Not Started">
      <formula>NOT(ISERROR(SEARCH("Not Started",I5)))</formula>
    </cfRule>
  </conditionalFormatting>
  <dataValidations count="2">
    <dataValidation type="list" allowBlank="1" showInputMessage="1" showErrorMessage="1" sqref="G5:G16" xr:uid="{1B43D973-912F-446C-A200-C3580AA787FB}">
      <formula1>"Low, Medium, High, Critical"</formula1>
    </dataValidation>
    <dataValidation type="list" allowBlank="1" showInputMessage="1" showErrorMessage="1" sqref="I5:I16" xr:uid="{B82E0D22-F7FA-4676-B282-4FE3390BCDB4}">
      <formula1>"Not Started, In Progress, Needs Review, Approved, Deferred, Needs Follow-up"</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D7557-0339-4380-98AF-E9A7718A43A0}">
  <dimension ref="A1:D79"/>
  <sheetViews>
    <sheetView workbookViewId="0">
      <pane ySplit="4" topLeftCell="A74" activePane="bottomLeft" state="frozen"/>
      <selection pane="bottomLeft" activeCell="A65" sqref="A65"/>
    </sheetView>
  </sheetViews>
  <sheetFormatPr defaultRowHeight="15.6" x14ac:dyDescent="0.3"/>
  <cols>
    <col min="1" max="1" width="45.77734375" style="19" customWidth="1"/>
    <col min="2" max="2" width="26.109375" style="25" customWidth="1"/>
    <col min="3" max="3" width="18" customWidth="1"/>
  </cols>
  <sheetData>
    <row r="1" spans="1:4" ht="147" customHeight="1" x14ac:dyDescent="0.3">
      <c r="A1" s="101" t="s">
        <v>80</v>
      </c>
      <c r="B1" s="102"/>
      <c r="C1" s="102"/>
      <c r="D1" s="103"/>
    </row>
    <row r="2" spans="1:4" x14ac:dyDescent="0.3">
      <c r="A2" s="28"/>
      <c r="B2" s="26"/>
      <c r="C2" s="20"/>
      <c r="D2" s="29"/>
    </row>
    <row r="3" spans="1:4" ht="28.8" customHeight="1" x14ac:dyDescent="0.3">
      <c r="A3" s="91" t="s">
        <v>81</v>
      </c>
      <c r="B3" s="92"/>
      <c r="C3" s="92"/>
      <c r="D3" s="93"/>
    </row>
    <row r="4" spans="1:4" x14ac:dyDescent="0.3">
      <c r="A4" s="30"/>
      <c r="B4" s="21"/>
      <c r="C4" s="12"/>
      <c r="D4" s="31"/>
    </row>
    <row r="5" spans="1:4" x14ac:dyDescent="0.3">
      <c r="A5" s="32" t="s">
        <v>82</v>
      </c>
      <c r="B5" s="41"/>
      <c r="C5" s="12"/>
      <c r="D5" s="31"/>
    </row>
    <row r="6" spans="1:4" x14ac:dyDescent="0.3">
      <c r="A6" s="32" t="s">
        <v>83</v>
      </c>
      <c r="B6" s="22"/>
      <c r="C6" s="12"/>
      <c r="D6" s="31"/>
    </row>
    <row r="7" spans="1:4" x14ac:dyDescent="0.3">
      <c r="A7" s="32" t="s">
        <v>84</v>
      </c>
      <c r="B7" s="22"/>
      <c r="C7" s="12"/>
      <c r="D7" s="31"/>
    </row>
    <row r="8" spans="1:4" x14ac:dyDescent="0.3">
      <c r="A8" s="32" t="s">
        <v>85</v>
      </c>
      <c r="B8" s="22"/>
      <c r="C8" s="12"/>
      <c r="D8" s="31"/>
    </row>
    <row r="9" spans="1:4" x14ac:dyDescent="0.3">
      <c r="A9" s="32" t="s">
        <v>86</v>
      </c>
      <c r="B9" s="22"/>
      <c r="C9" s="12"/>
      <c r="D9" s="31"/>
    </row>
    <row r="10" spans="1:4" x14ac:dyDescent="0.3">
      <c r="A10" s="32" t="s">
        <v>87</v>
      </c>
      <c r="B10" s="22"/>
      <c r="C10" s="12"/>
      <c r="D10" s="31"/>
    </row>
    <row r="11" spans="1:4" x14ac:dyDescent="0.3">
      <c r="A11" s="32" t="s">
        <v>88</v>
      </c>
      <c r="B11" s="22" t="s">
        <v>137</v>
      </c>
      <c r="C11" s="12"/>
      <c r="D11" s="31"/>
    </row>
    <row r="12" spans="1:4" x14ac:dyDescent="0.3">
      <c r="A12" s="32" t="s">
        <v>6</v>
      </c>
      <c r="B12" s="22" t="s">
        <v>110</v>
      </c>
      <c r="C12" s="12"/>
      <c r="D12" s="31"/>
    </row>
    <row r="13" spans="1:4" x14ac:dyDescent="0.3">
      <c r="A13" s="32" t="s">
        <v>89</v>
      </c>
      <c r="B13" s="22"/>
      <c r="C13" s="12"/>
      <c r="D13" s="31"/>
    </row>
    <row r="14" spans="1:4" x14ac:dyDescent="0.3">
      <c r="A14" s="32" t="s">
        <v>90</v>
      </c>
      <c r="B14" s="41"/>
      <c r="C14" s="12"/>
      <c r="D14" s="31"/>
    </row>
    <row r="15" spans="1:4" x14ac:dyDescent="0.3">
      <c r="A15" s="30"/>
      <c r="B15" s="21"/>
      <c r="C15" s="12"/>
      <c r="D15" s="31"/>
    </row>
    <row r="16" spans="1:4" ht="28.8" customHeight="1" x14ac:dyDescent="0.3">
      <c r="A16" s="104" t="s">
        <v>91</v>
      </c>
      <c r="B16" s="105"/>
      <c r="C16" s="105"/>
      <c r="D16" s="106"/>
    </row>
    <row r="17" spans="1:4" x14ac:dyDescent="0.3">
      <c r="A17" s="30"/>
      <c r="B17" s="21"/>
      <c r="C17" s="12"/>
      <c r="D17" s="31"/>
    </row>
    <row r="18" spans="1:4" x14ac:dyDescent="0.3">
      <c r="A18" s="32" t="s">
        <v>92</v>
      </c>
      <c r="B18" s="41"/>
      <c r="C18" s="23"/>
      <c r="D18" s="33"/>
    </row>
    <row r="19" spans="1:4" x14ac:dyDescent="0.3">
      <c r="A19" s="32" t="s">
        <v>93</v>
      </c>
      <c r="B19" s="22"/>
      <c r="C19" s="23"/>
      <c r="D19" s="33"/>
    </row>
    <row r="20" spans="1:4" x14ac:dyDescent="0.3">
      <c r="A20" s="32" t="s">
        <v>94</v>
      </c>
      <c r="B20" s="22"/>
      <c r="C20" s="23"/>
      <c r="D20" s="33"/>
    </row>
    <row r="21" spans="1:4" x14ac:dyDescent="0.3">
      <c r="A21" s="32" t="s">
        <v>95</v>
      </c>
      <c r="B21" s="22"/>
      <c r="C21" s="23"/>
      <c r="D21" s="33"/>
    </row>
    <row r="22" spans="1:4" x14ac:dyDescent="0.3">
      <c r="A22" s="32" t="s">
        <v>96</v>
      </c>
      <c r="B22" s="22" t="s">
        <v>101</v>
      </c>
      <c r="C22" s="23"/>
      <c r="D22" s="33"/>
    </row>
    <row r="23" spans="1:4" x14ac:dyDescent="0.3">
      <c r="A23" s="32" t="s">
        <v>97</v>
      </c>
      <c r="B23" s="22" t="s">
        <v>102</v>
      </c>
      <c r="C23" s="23"/>
      <c r="D23" s="33"/>
    </row>
    <row r="24" spans="1:4" x14ac:dyDescent="0.3">
      <c r="A24" s="32" t="s">
        <v>98</v>
      </c>
      <c r="B24" s="22"/>
      <c r="C24" s="23"/>
      <c r="D24" s="33"/>
    </row>
    <row r="25" spans="1:4" x14ac:dyDescent="0.3">
      <c r="A25" s="32" t="s">
        <v>99</v>
      </c>
      <c r="B25" s="22" t="s">
        <v>102</v>
      </c>
      <c r="C25" s="23"/>
      <c r="D25" s="33"/>
    </row>
    <row r="26" spans="1:4" ht="29.4" customHeight="1" x14ac:dyDescent="0.3">
      <c r="A26" s="32" t="s">
        <v>100</v>
      </c>
      <c r="B26" s="41"/>
      <c r="C26" s="23"/>
      <c r="D26" s="33"/>
    </row>
    <row r="27" spans="1:4" x14ac:dyDescent="0.3">
      <c r="A27" s="30"/>
      <c r="B27" s="21"/>
      <c r="C27" s="12"/>
      <c r="D27" s="31"/>
    </row>
    <row r="28" spans="1:4" ht="18" x14ac:dyDescent="0.3">
      <c r="A28" s="91" t="s">
        <v>122</v>
      </c>
      <c r="B28" s="92"/>
      <c r="C28" s="92"/>
      <c r="D28" s="93"/>
    </row>
    <row r="29" spans="1:4" x14ac:dyDescent="0.3">
      <c r="A29" s="32"/>
      <c r="B29" s="22"/>
      <c r="C29" s="24"/>
      <c r="D29" s="34"/>
    </row>
    <row r="30" spans="1:4" x14ac:dyDescent="0.3">
      <c r="A30" s="32" t="s">
        <v>103</v>
      </c>
      <c r="B30" s="22" t="s">
        <v>101</v>
      </c>
      <c r="C30" s="24"/>
      <c r="D30" s="34"/>
    </row>
    <row r="31" spans="1:4" x14ac:dyDescent="0.3">
      <c r="A31" s="32" t="s">
        <v>104</v>
      </c>
      <c r="B31" s="22"/>
      <c r="C31" s="24"/>
      <c r="D31" s="34"/>
    </row>
    <row r="32" spans="1:4" x14ac:dyDescent="0.3">
      <c r="A32" s="32" t="s">
        <v>105</v>
      </c>
      <c r="B32" s="22"/>
      <c r="C32" s="24"/>
      <c r="D32" s="34"/>
    </row>
    <row r="33" spans="1:4" x14ac:dyDescent="0.3">
      <c r="A33" s="32" t="s">
        <v>106</v>
      </c>
      <c r="B33" s="22" t="s">
        <v>101</v>
      </c>
      <c r="C33" s="24"/>
      <c r="D33" s="34"/>
    </row>
    <row r="34" spans="1:4" x14ac:dyDescent="0.3">
      <c r="A34" s="32" t="s">
        <v>107</v>
      </c>
      <c r="B34" s="22"/>
      <c r="C34" s="24"/>
      <c r="D34" s="34"/>
    </row>
    <row r="35" spans="1:4" x14ac:dyDescent="0.3">
      <c r="A35" s="32" t="s">
        <v>108</v>
      </c>
      <c r="B35" s="22"/>
      <c r="C35" s="24"/>
      <c r="D35" s="34"/>
    </row>
    <row r="36" spans="1:4" ht="32.4" customHeight="1" x14ac:dyDescent="0.3">
      <c r="A36" s="32" t="s">
        <v>109</v>
      </c>
      <c r="B36" s="41"/>
      <c r="C36" s="24"/>
      <c r="D36" s="34"/>
    </row>
    <row r="37" spans="1:4" x14ac:dyDescent="0.3">
      <c r="A37" s="30"/>
      <c r="B37" s="21"/>
      <c r="C37" s="12"/>
      <c r="D37" s="31"/>
    </row>
    <row r="38" spans="1:4" ht="18" customHeight="1" x14ac:dyDescent="0.3">
      <c r="A38" s="91" t="s">
        <v>113</v>
      </c>
      <c r="B38" s="92"/>
      <c r="C38" s="92"/>
      <c r="D38" s="93"/>
    </row>
    <row r="39" spans="1:4" x14ac:dyDescent="0.3">
      <c r="A39" s="32"/>
      <c r="B39" s="22"/>
      <c r="C39" s="24"/>
      <c r="D39" s="34"/>
    </row>
    <row r="40" spans="1:4" x14ac:dyDescent="0.3">
      <c r="A40" s="32" t="s">
        <v>114</v>
      </c>
      <c r="B40" s="22"/>
      <c r="C40" s="24"/>
      <c r="D40" s="34"/>
    </row>
    <row r="41" spans="1:4" x14ac:dyDescent="0.3">
      <c r="A41" s="32" t="s">
        <v>115</v>
      </c>
      <c r="B41" s="21"/>
      <c r="C41" s="24"/>
      <c r="D41" s="34"/>
    </row>
    <row r="42" spans="1:4" x14ac:dyDescent="0.3">
      <c r="A42" s="32" t="s">
        <v>116</v>
      </c>
      <c r="B42" s="21"/>
      <c r="C42" s="24"/>
      <c r="D42" s="34"/>
    </row>
    <row r="43" spans="1:4" x14ac:dyDescent="0.3">
      <c r="A43" s="32" t="s">
        <v>117</v>
      </c>
      <c r="B43" s="21"/>
      <c r="C43" s="24"/>
      <c r="D43" s="34"/>
    </row>
    <row r="44" spans="1:4" x14ac:dyDescent="0.3">
      <c r="A44" s="32" t="s">
        <v>118</v>
      </c>
      <c r="B44" s="21"/>
      <c r="C44" s="24"/>
      <c r="D44" s="34"/>
    </row>
    <row r="45" spans="1:4" x14ac:dyDescent="0.3">
      <c r="A45" s="32" t="s">
        <v>119</v>
      </c>
      <c r="B45" s="21"/>
      <c r="C45" s="24"/>
      <c r="D45" s="34"/>
    </row>
    <row r="46" spans="1:4" ht="30" customHeight="1" x14ac:dyDescent="0.3">
      <c r="A46" s="32" t="s">
        <v>120</v>
      </c>
      <c r="B46" s="42"/>
      <c r="C46" s="24"/>
      <c r="D46" s="34"/>
    </row>
    <row r="47" spans="1:4" x14ac:dyDescent="0.3">
      <c r="A47" s="30"/>
      <c r="B47" s="21"/>
      <c r="C47" s="12"/>
      <c r="D47" s="31"/>
    </row>
    <row r="48" spans="1:4" ht="18" x14ac:dyDescent="0.3">
      <c r="A48" s="91" t="s">
        <v>121</v>
      </c>
      <c r="B48" s="92"/>
      <c r="C48" s="92"/>
      <c r="D48" s="93"/>
    </row>
    <row r="49" spans="1:4" x14ac:dyDescent="0.3">
      <c r="A49" s="32"/>
      <c r="B49" s="22"/>
      <c r="C49" s="22"/>
      <c r="D49" s="35"/>
    </row>
    <row r="50" spans="1:4" x14ac:dyDescent="0.3">
      <c r="A50" s="32" t="s">
        <v>123</v>
      </c>
      <c r="B50" s="22"/>
      <c r="C50" s="22"/>
      <c r="D50" s="35"/>
    </row>
    <row r="51" spans="1:4" x14ac:dyDescent="0.3">
      <c r="A51" s="32" t="s">
        <v>124</v>
      </c>
      <c r="B51" s="22"/>
      <c r="C51" s="22"/>
      <c r="D51" s="35"/>
    </row>
    <row r="52" spans="1:4" x14ac:dyDescent="0.3">
      <c r="A52" s="32" t="s">
        <v>125</v>
      </c>
      <c r="B52" s="22"/>
      <c r="C52" s="22"/>
      <c r="D52" s="35"/>
    </row>
    <row r="53" spans="1:4" x14ac:dyDescent="0.3">
      <c r="A53" s="32" t="s">
        <v>126</v>
      </c>
      <c r="B53" s="22"/>
      <c r="C53" s="22"/>
      <c r="D53" s="35"/>
    </row>
    <row r="54" spans="1:4" x14ac:dyDescent="0.3">
      <c r="A54" s="32" t="s">
        <v>127</v>
      </c>
      <c r="B54" s="22"/>
      <c r="C54" s="22"/>
      <c r="D54" s="35"/>
    </row>
    <row r="55" spans="1:4" x14ac:dyDescent="0.3">
      <c r="A55" s="32" t="s">
        <v>128</v>
      </c>
      <c r="B55" s="22"/>
      <c r="C55" s="22"/>
      <c r="D55" s="35"/>
    </row>
    <row r="56" spans="1:4" ht="33" customHeight="1" x14ac:dyDescent="0.3">
      <c r="A56" s="32" t="s">
        <v>129</v>
      </c>
      <c r="B56" s="41"/>
      <c r="C56" s="22"/>
      <c r="D56" s="35"/>
    </row>
    <row r="57" spans="1:4" x14ac:dyDescent="0.3">
      <c r="A57" s="30"/>
      <c r="B57" s="21"/>
      <c r="C57" s="12"/>
      <c r="D57" s="31"/>
    </row>
    <row r="58" spans="1:4" ht="18" x14ac:dyDescent="0.3">
      <c r="A58" s="91" t="s">
        <v>130</v>
      </c>
      <c r="B58" s="92"/>
      <c r="C58" s="92"/>
      <c r="D58" s="93"/>
    </row>
    <row r="59" spans="1:4" x14ac:dyDescent="0.3">
      <c r="A59" s="32"/>
      <c r="B59" s="22"/>
      <c r="C59" s="24"/>
      <c r="D59" s="34"/>
    </row>
    <row r="60" spans="1:4" x14ac:dyDescent="0.3">
      <c r="A60" s="32" t="s">
        <v>131</v>
      </c>
      <c r="B60" s="22" t="s">
        <v>16</v>
      </c>
      <c r="C60" s="24"/>
      <c r="D60" s="34"/>
    </row>
    <row r="61" spans="1:4" x14ac:dyDescent="0.3">
      <c r="A61" s="32" t="s">
        <v>132</v>
      </c>
      <c r="B61" s="22" t="s">
        <v>70</v>
      </c>
      <c r="C61" s="24"/>
      <c r="D61" s="34"/>
    </row>
    <row r="62" spans="1:4" x14ac:dyDescent="0.3">
      <c r="A62" s="32" t="s">
        <v>133</v>
      </c>
      <c r="B62" s="22"/>
      <c r="C62" s="24"/>
      <c r="D62" s="34"/>
    </row>
    <row r="63" spans="1:4" x14ac:dyDescent="0.3">
      <c r="A63" s="32" t="s">
        <v>134</v>
      </c>
      <c r="B63" s="22"/>
      <c r="C63" s="24"/>
      <c r="D63" s="34"/>
    </row>
    <row r="64" spans="1:4" x14ac:dyDescent="0.3">
      <c r="A64" s="32" t="s">
        <v>135</v>
      </c>
      <c r="B64" s="22"/>
      <c r="C64" s="24"/>
      <c r="D64" s="34"/>
    </row>
    <row r="65" spans="1:4" ht="33.6" customHeight="1" x14ac:dyDescent="0.3">
      <c r="A65" s="32" t="s">
        <v>136</v>
      </c>
      <c r="B65" s="41"/>
      <c r="C65" s="24"/>
      <c r="D65" s="34"/>
    </row>
    <row r="66" spans="1:4" x14ac:dyDescent="0.3">
      <c r="A66" s="30"/>
      <c r="B66" s="21"/>
      <c r="C66" s="12"/>
      <c r="D66" s="31"/>
    </row>
    <row r="67" spans="1:4" ht="15.6" customHeight="1" x14ac:dyDescent="0.35">
      <c r="A67" s="76" t="s">
        <v>138</v>
      </c>
      <c r="B67" s="77"/>
      <c r="C67" s="77"/>
      <c r="D67" s="78"/>
    </row>
    <row r="68" spans="1:4" ht="144" customHeight="1" x14ac:dyDescent="0.3">
      <c r="A68" s="98" t="s">
        <v>139</v>
      </c>
      <c r="B68" s="99"/>
      <c r="C68" s="99"/>
      <c r="D68" s="100"/>
    </row>
    <row r="69" spans="1:4" x14ac:dyDescent="0.3">
      <c r="A69" s="30"/>
      <c r="B69" s="21"/>
      <c r="C69" s="12"/>
      <c r="D69" s="31"/>
    </row>
    <row r="70" spans="1:4" ht="15.6" customHeight="1" x14ac:dyDescent="0.3">
      <c r="A70" s="91" t="s">
        <v>140</v>
      </c>
      <c r="B70" s="92"/>
      <c r="C70" s="92"/>
      <c r="D70" s="93"/>
    </row>
    <row r="71" spans="1:4" ht="18" x14ac:dyDescent="0.35">
      <c r="A71" s="36" t="s">
        <v>149</v>
      </c>
      <c r="B71" s="21"/>
      <c r="C71" s="13" t="s">
        <v>150</v>
      </c>
      <c r="D71" s="44">
        <f>COUNTIF(B72:B79,"Complete")/COUNTA(A72:A79)</f>
        <v>0</v>
      </c>
    </row>
    <row r="72" spans="1:4" x14ac:dyDescent="0.3">
      <c r="A72" s="37" t="s">
        <v>141</v>
      </c>
      <c r="B72" s="42"/>
      <c r="C72" s="12"/>
      <c r="D72" s="31"/>
    </row>
    <row r="73" spans="1:4" x14ac:dyDescent="0.3">
      <c r="A73" s="37" t="s">
        <v>142</v>
      </c>
      <c r="B73" s="21"/>
      <c r="C73" s="12"/>
      <c r="D73" s="31"/>
    </row>
    <row r="74" spans="1:4" x14ac:dyDescent="0.3">
      <c r="A74" s="37" t="s">
        <v>143</v>
      </c>
      <c r="B74" s="21"/>
      <c r="C74" s="12"/>
      <c r="D74" s="31"/>
    </row>
    <row r="75" spans="1:4" x14ac:dyDescent="0.3">
      <c r="A75" s="37" t="s">
        <v>144</v>
      </c>
      <c r="B75" s="21"/>
      <c r="C75" s="12"/>
      <c r="D75" s="31"/>
    </row>
    <row r="76" spans="1:4" x14ac:dyDescent="0.3">
      <c r="A76" s="37" t="s">
        <v>145</v>
      </c>
      <c r="B76" s="21"/>
      <c r="C76" s="12"/>
      <c r="D76" s="31"/>
    </row>
    <row r="77" spans="1:4" x14ac:dyDescent="0.3">
      <c r="A77" s="37" t="s">
        <v>146</v>
      </c>
      <c r="B77" s="21"/>
      <c r="C77" s="12"/>
      <c r="D77" s="31"/>
    </row>
    <row r="78" spans="1:4" x14ac:dyDescent="0.3">
      <c r="A78" s="37" t="s">
        <v>147</v>
      </c>
      <c r="B78" s="21"/>
      <c r="C78" s="12"/>
      <c r="D78" s="31"/>
    </row>
    <row r="79" spans="1:4" ht="16.2" thickBot="1" x14ac:dyDescent="0.35">
      <c r="A79" s="38" t="s">
        <v>148</v>
      </c>
      <c r="B79" s="43"/>
      <c r="C79" s="39"/>
      <c r="D79" s="40"/>
    </row>
  </sheetData>
  <mergeCells count="10">
    <mergeCell ref="A58:D58"/>
    <mergeCell ref="A67:D67"/>
    <mergeCell ref="A68:D68"/>
    <mergeCell ref="A70:D70"/>
    <mergeCell ref="A1:D1"/>
    <mergeCell ref="A3:D3"/>
    <mergeCell ref="A16:D16"/>
    <mergeCell ref="A28:D28"/>
    <mergeCell ref="A38:D38"/>
    <mergeCell ref="A48:D48"/>
  </mergeCells>
  <conditionalFormatting sqref="B12">
    <cfRule type="containsText" dxfId="34" priority="8" operator="containsText" text="Unknown">
      <formula>NOT(ISERROR(SEARCH("Unknown",B12)))</formula>
    </cfRule>
    <cfRule type="containsText" dxfId="33" priority="18" operator="containsText" text="Low">
      <formula>NOT(ISERROR(SEARCH("Low",B12)))</formula>
    </cfRule>
    <cfRule type="containsText" dxfId="32" priority="19" operator="containsText" text="Medium">
      <formula>NOT(ISERROR(SEARCH("Medium",B12)))</formula>
    </cfRule>
    <cfRule type="containsText" dxfId="31" priority="20" operator="containsText" text="High">
      <formula>NOT(ISERROR(SEARCH("High",B12)))</formula>
    </cfRule>
    <cfRule type="containsText" dxfId="30" priority="21" operator="containsText" text="Critical">
      <formula>NOT(ISERROR(SEARCH("Critical",B12)))</formula>
    </cfRule>
  </conditionalFormatting>
  <conditionalFormatting sqref="B25">
    <cfRule type="containsText" dxfId="29" priority="7" operator="containsText" text="Unknown">
      <formula>NOT(ISERROR(SEARCH("Unknown",B25)))</formula>
    </cfRule>
  </conditionalFormatting>
  <conditionalFormatting sqref="B30">
    <cfRule type="containsText" dxfId="28" priority="6" operator="containsText" text="Unknown">
      <formula>NOT(ISERROR(SEARCH("Unknown",B30)))</formula>
    </cfRule>
  </conditionalFormatting>
  <conditionalFormatting sqref="B32:B33">
    <cfRule type="containsText" dxfId="27" priority="5" operator="containsText" text="Unknown">
      <formula>NOT(ISERROR(SEARCH("Unknown",B32)))</formula>
    </cfRule>
  </conditionalFormatting>
  <conditionalFormatting sqref="B40">
    <cfRule type="containsText" dxfId="26" priority="4" operator="containsText" text="Unknown">
      <formula>NOT(ISERROR(SEARCH("Unknown",B40)))</formula>
    </cfRule>
  </conditionalFormatting>
  <conditionalFormatting sqref="B45">
    <cfRule type="containsText" dxfId="25" priority="3" operator="containsText" text="Unknown">
      <formula>NOT(ISERROR(SEARCH("Unknown",B45)))</formula>
    </cfRule>
  </conditionalFormatting>
  <conditionalFormatting sqref="B50">
    <cfRule type="containsText" dxfId="24" priority="2" operator="containsText" text="Unknown">
      <formula>NOT(ISERROR(SEARCH("Unknown",B50)))</formula>
    </cfRule>
  </conditionalFormatting>
  <conditionalFormatting sqref="B55">
    <cfRule type="containsText" dxfId="23" priority="1" operator="containsText" text="Unknown">
      <formula>NOT(ISERROR(SEARCH("Unknown",B55)))</formula>
    </cfRule>
  </conditionalFormatting>
  <conditionalFormatting sqref="B60">
    <cfRule type="containsText" dxfId="22" priority="14" operator="containsText" text="Low">
      <formula>NOT(ISERROR(SEARCH("Low",B60)))</formula>
    </cfRule>
    <cfRule type="containsText" dxfId="21" priority="15" operator="containsText" text="Medium">
      <formula>NOT(ISERROR(SEARCH("Medium",B60)))</formula>
    </cfRule>
    <cfRule type="containsText" dxfId="20" priority="16" operator="containsText" text="High">
      <formula>NOT(ISERROR(SEARCH("High",B60)))</formula>
    </cfRule>
    <cfRule type="containsText" dxfId="19" priority="17" operator="containsText" text="Critical">
      <formula>NOT(ISERROR(SEARCH("Critical",B60)))</formula>
    </cfRule>
  </conditionalFormatting>
  <conditionalFormatting sqref="B61">
    <cfRule type="containsText" dxfId="18" priority="9" operator="containsText" text="Deferred">
      <formula>NOT(ISERROR(SEARCH("Deferred",B61)))</formula>
    </cfRule>
    <cfRule type="containsText" dxfId="17" priority="10" operator="containsText" text="Rejected">
      <formula>NOT(ISERROR(SEARCH("Rejected",B61)))</formula>
    </cfRule>
    <cfRule type="containsText" dxfId="16" priority="11" operator="containsText" text="Needs Remediation">
      <formula>NOT(ISERROR(SEARCH("Needs Remediation",B61)))</formula>
    </cfRule>
    <cfRule type="containsText" dxfId="15" priority="12" operator="containsText" text="Approved with Conditions">
      <formula>NOT(ISERROR(SEARCH("Approved with Conditions",B61)))</formula>
    </cfRule>
    <cfRule type="containsText" dxfId="14" priority="13" operator="containsText" text="Approved">
      <formula>NOT(ISERROR(SEARCH("Approved",B61)))</formula>
    </cfRule>
  </conditionalFormatting>
  <dataValidations count="8">
    <dataValidation type="list" allowBlank="1" showInputMessage="1" showErrorMessage="1" sqref="B9" xr:uid="{57E17A08-179B-4243-A74E-1B1EC9783743}">
      <formula1>"Generative AI,Predictive Model,Decision Support,Computer Vision,Natural Language Processing,Automation Tool,Chatbot,Other"</formula1>
    </dataValidation>
    <dataValidation type="list" allowBlank="1" showInputMessage="1" showErrorMessage="1" sqref="B11" xr:uid="{348AEFC0-DAD7-4726-A48D-E9BD318DE675}">
      <formula1>"Proposed,Pilot,In Development,Production,Retired,Deferred"</formula1>
    </dataValidation>
    <dataValidation type="list" allowBlank="1" showInputMessage="1" showErrorMessage="1" sqref="B60" xr:uid="{A83EC9CD-7CFB-40A4-A6DB-9FB8EED6AE3B}">
      <formula1>"Low,Medium,High,Critical"</formula1>
    </dataValidation>
    <dataValidation type="list" allowBlank="1" showInputMessage="1" showErrorMessage="1" sqref="B20" xr:uid="{7DAEC964-7F67-40CF-9355-D21F83EF3CFA}">
      <formula1>"Public,Internal,Confidential,Restricted,Sensitive Personal Data"</formula1>
    </dataValidation>
    <dataValidation type="list" allowBlank="1" showInputMessage="1" showErrorMessage="1" sqref="B21:B25 B30 B32:B33 B40:B45 B50:B55" xr:uid="{21A55DFD-5605-44BF-B5E0-4106E949A5E3}">
      <formula1>"Yes,No,Unknown,Not Applicable"</formula1>
    </dataValidation>
    <dataValidation type="list" allowBlank="1" showInputMessage="1" showErrorMessage="1" sqref="B35" xr:uid="{0FC34FD5-CFEC-4B29-9745-5A4287771808}">
      <formula1>"Continuous,Daily,Weekly,Monthly,Quarterly,Annually,As Needed,Not Defined"</formula1>
    </dataValidation>
    <dataValidation type="list" allowBlank="1" showInputMessage="1" showErrorMessage="1" sqref="B61" xr:uid="{CC631587-A63F-4245-838E-330CD5386BF2}">
      <formula1>"Approved,Approved with Conditions,Needs Remediation,Rejected,Deferred"</formula1>
    </dataValidation>
    <dataValidation type="list" allowBlank="1" showInputMessage="1" showErrorMessage="1" sqref="B12" xr:uid="{66F0C175-B4BB-4278-ACBE-856EA34A6627}">
      <formula1>"Low,Medium,High,Critical, Unknown"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C733-DD99-4328-BA86-CCA4DA277B09}">
  <dimension ref="A1:P14"/>
  <sheetViews>
    <sheetView topLeftCell="G1" workbookViewId="0">
      <selection activeCell="N7" sqref="N7:O7"/>
    </sheetView>
  </sheetViews>
  <sheetFormatPr defaultRowHeight="14.4" x14ac:dyDescent="0.3"/>
  <cols>
    <col min="1" max="1" width="16.88671875" customWidth="1"/>
    <col min="2" max="2" width="23.21875" customWidth="1"/>
    <col min="3" max="3" width="33.77734375" customWidth="1"/>
    <col min="4" max="4" width="16.109375" customWidth="1"/>
    <col min="5" max="5" width="40.21875" customWidth="1"/>
    <col min="6" max="6" width="17.88671875" customWidth="1"/>
    <col min="7" max="7" width="15.21875" customWidth="1"/>
    <col min="8" max="8" width="11.44140625" customWidth="1"/>
    <col min="9" max="9" width="16.109375" customWidth="1"/>
    <col min="10" max="10" width="17.6640625" style="7" customWidth="1"/>
    <col min="11" max="11" width="15.6640625" customWidth="1"/>
    <col min="12" max="12" width="23.77734375" customWidth="1"/>
    <col min="13" max="13" width="44.6640625" customWidth="1"/>
    <col min="15" max="15" width="18.109375" customWidth="1"/>
  </cols>
  <sheetData>
    <row r="1" spans="1:16" ht="18" x14ac:dyDescent="0.3">
      <c r="A1" s="67" t="s">
        <v>151</v>
      </c>
      <c r="B1" s="68"/>
      <c r="C1" s="68"/>
      <c r="D1" s="68"/>
      <c r="E1" s="68"/>
      <c r="F1" s="68"/>
      <c r="G1" s="68"/>
      <c r="H1" s="68"/>
      <c r="I1" s="68"/>
      <c r="J1" s="68"/>
      <c r="K1" s="68"/>
      <c r="L1" s="68"/>
      <c r="M1" s="68"/>
      <c r="N1" s="68"/>
      <c r="O1" s="68"/>
      <c r="P1" s="69"/>
    </row>
    <row r="2" spans="1:16" ht="18" customHeight="1" x14ac:dyDescent="0.3">
      <c r="A2" s="64"/>
      <c r="B2" s="65"/>
      <c r="C2" s="65"/>
      <c r="D2" s="65"/>
      <c r="E2" s="65"/>
      <c r="F2" s="65"/>
      <c r="G2" s="65"/>
      <c r="H2" s="65"/>
      <c r="I2" s="65"/>
      <c r="J2" s="65"/>
      <c r="K2" s="65"/>
      <c r="L2" s="65"/>
      <c r="M2" s="66"/>
      <c r="N2" s="58" t="s">
        <v>215</v>
      </c>
      <c r="O2" s="59"/>
      <c r="P2" s="60"/>
    </row>
    <row r="3" spans="1:16" ht="16.2" thickBot="1" x14ac:dyDescent="0.35">
      <c r="A3" s="45" t="s">
        <v>152</v>
      </c>
      <c r="B3" s="45" t="s">
        <v>153</v>
      </c>
      <c r="C3" s="45" t="s">
        <v>154</v>
      </c>
      <c r="D3" s="45" t="s">
        <v>155</v>
      </c>
      <c r="E3" s="45" t="s">
        <v>156</v>
      </c>
      <c r="F3" s="45" t="s">
        <v>157</v>
      </c>
      <c r="G3" s="45" t="s">
        <v>158</v>
      </c>
      <c r="H3" s="45" t="s">
        <v>159</v>
      </c>
      <c r="I3" s="45" t="s">
        <v>160</v>
      </c>
      <c r="J3" s="45" t="s">
        <v>161</v>
      </c>
      <c r="K3" s="45" t="s">
        <v>162</v>
      </c>
      <c r="L3" s="45" t="s">
        <v>163</v>
      </c>
      <c r="M3" s="45" t="s">
        <v>9</v>
      </c>
      <c r="N3" s="61"/>
      <c r="O3" s="62"/>
      <c r="P3" s="63"/>
    </row>
    <row r="4" spans="1:16" ht="43.2" x14ac:dyDescent="0.3">
      <c r="A4" s="47" t="s">
        <v>164</v>
      </c>
      <c r="B4" s="46" t="s">
        <v>165</v>
      </c>
      <c r="C4" s="46" t="s">
        <v>166</v>
      </c>
      <c r="D4" s="46" t="s">
        <v>167</v>
      </c>
      <c r="E4" s="46" t="s">
        <v>168</v>
      </c>
      <c r="F4" s="46" t="s">
        <v>169</v>
      </c>
      <c r="G4" s="46"/>
      <c r="H4" s="46"/>
      <c r="I4" s="46"/>
      <c r="J4" s="46" t="s">
        <v>207</v>
      </c>
      <c r="K4" s="46" t="s">
        <v>171</v>
      </c>
      <c r="L4" s="46"/>
      <c r="M4" s="48" t="s">
        <v>172</v>
      </c>
      <c r="N4" s="56" t="s">
        <v>216</v>
      </c>
      <c r="O4" s="57"/>
      <c r="P4" s="13">
        <f>COUNTA(A4:A9)</f>
        <v>6</v>
      </c>
    </row>
    <row r="5" spans="1:16" ht="28.8" x14ac:dyDescent="0.3">
      <c r="A5" s="49" t="s">
        <v>173</v>
      </c>
      <c r="B5" s="2" t="s">
        <v>174</v>
      </c>
      <c r="C5" s="2" t="s">
        <v>175</v>
      </c>
      <c r="D5" s="2" t="s">
        <v>176</v>
      </c>
      <c r="E5" s="2" t="s">
        <v>177</v>
      </c>
      <c r="F5" s="2" t="s">
        <v>178</v>
      </c>
      <c r="G5" s="2"/>
      <c r="H5" s="2"/>
      <c r="I5" s="2"/>
      <c r="J5" s="2" t="s">
        <v>208</v>
      </c>
      <c r="K5" s="2" t="s">
        <v>212</v>
      </c>
      <c r="L5" s="2"/>
      <c r="M5" s="3" t="s">
        <v>179</v>
      </c>
      <c r="N5" s="56" t="s">
        <v>170</v>
      </c>
      <c r="O5" s="57"/>
      <c r="P5" s="13">
        <f>COUNTIF(J4:J9,"Requested")</f>
        <v>0</v>
      </c>
    </row>
    <row r="6" spans="1:16" ht="28.8" x14ac:dyDescent="0.3">
      <c r="A6" s="49" t="s">
        <v>180</v>
      </c>
      <c r="B6" s="2" t="s">
        <v>181</v>
      </c>
      <c r="C6" s="2" t="s">
        <v>182</v>
      </c>
      <c r="D6" s="2" t="s">
        <v>183</v>
      </c>
      <c r="E6" s="2" t="s">
        <v>184</v>
      </c>
      <c r="F6" s="2" t="s">
        <v>185</v>
      </c>
      <c r="G6" s="2"/>
      <c r="H6" s="2"/>
      <c r="I6" s="2"/>
      <c r="J6" s="2" t="s">
        <v>209</v>
      </c>
      <c r="K6" s="2" t="s">
        <v>213</v>
      </c>
      <c r="L6" s="2"/>
      <c r="M6" s="3" t="s">
        <v>186</v>
      </c>
      <c r="N6" s="56" t="s">
        <v>209</v>
      </c>
      <c r="O6" s="57"/>
      <c r="P6" s="13">
        <f>COUNTIF(J4:J9,"Received")</f>
        <v>1</v>
      </c>
    </row>
    <row r="7" spans="1:16" ht="43.2" x14ac:dyDescent="0.3">
      <c r="A7" s="49" t="s">
        <v>187</v>
      </c>
      <c r="B7" s="2" t="s">
        <v>188</v>
      </c>
      <c r="C7" s="2" t="s">
        <v>189</v>
      </c>
      <c r="D7" s="2" t="s">
        <v>167</v>
      </c>
      <c r="E7" s="2" t="s">
        <v>190</v>
      </c>
      <c r="F7" s="2" t="s">
        <v>191</v>
      </c>
      <c r="G7" s="2"/>
      <c r="H7" s="2"/>
      <c r="I7" s="2"/>
      <c r="J7" s="2" t="s">
        <v>210</v>
      </c>
      <c r="K7" s="2" t="s">
        <v>214</v>
      </c>
      <c r="L7" s="2"/>
      <c r="M7" s="3" t="s">
        <v>192</v>
      </c>
      <c r="N7" s="56" t="s">
        <v>210</v>
      </c>
      <c r="O7" s="57"/>
      <c r="P7" s="13">
        <f>COUNTIF(J4:J9,"In Review")</f>
        <v>1</v>
      </c>
    </row>
    <row r="8" spans="1:16" ht="28.8" x14ac:dyDescent="0.3">
      <c r="A8" s="49" t="s">
        <v>193</v>
      </c>
      <c r="B8" s="2" t="s">
        <v>194</v>
      </c>
      <c r="C8" s="2" t="s">
        <v>195</v>
      </c>
      <c r="D8" s="2" t="s">
        <v>196</v>
      </c>
      <c r="E8" s="2" t="s">
        <v>197</v>
      </c>
      <c r="F8" s="2" t="s">
        <v>198</v>
      </c>
      <c r="G8" s="2"/>
      <c r="H8" s="2"/>
      <c r="I8" s="2"/>
      <c r="J8" s="2" t="s">
        <v>211</v>
      </c>
      <c r="K8" s="2" t="s">
        <v>171</v>
      </c>
      <c r="L8" s="2"/>
      <c r="M8" s="3" t="s">
        <v>199</v>
      </c>
      <c r="N8" s="56" t="s">
        <v>211</v>
      </c>
      <c r="O8" s="57"/>
      <c r="P8" s="13">
        <f>COUNTIF(J4:J9,"Accepted")</f>
        <v>1</v>
      </c>
    </row>
    <row r="9" spans="1:16" ht="28.8" x14ac:dyDescent="0.3">
      <c r="A9" s="50" t="s">
        <v>200</v>
      </c>
      <c r="B9" s="4" t="s">
        <v>201</v>
      </c>
      <c r="C9" s="4" t="s">
        <v>202</v>
      </c>
      <c r="D9" s="4" t="s">
        <v>203</v>
      </c>
      <c r="E9" s="4" t="s">
        <v>204</v>
      </c>
      <c r="F9" s="4" t="s">
        <v>205</v>
      </c>
      <c r="G9" s="4"/>
      <c r="H9" s="4"/>
      <c r="I9" s="4"/>
      <c r="J9" s="4" t="s">
        <v>71</v>
      </c>
      <c r="K9" s="4" t="s">
        <v>214</v>
      </c>
      <c r="L9" s="4"/>
      <c r="M9" s="5" t="s">
        <v>206</v>
      </c>
      <c r="N9" s="56" t="s">
        <v>71</v>
      </c>
      <c r="O9" s="57"/>
      <c r="P9" s="13">
        <f>COUNTIF(J4:J9,"Needs Follow-Up")</f>
        <v>1</v>
      </c>
    </row>
    <row r="10" spans="1:16" ht="15.6" x14ac:dyDescent="0.3">
      <c r="A10" s="7"/>
      <c r="B10" s="7"/>
      <c r="C10" s="7"/>
      <c r="D10" s="7"/>
      <c r="E10" s="7"/>
      <c r="F10" s="7"/>
      <c r="G10" s="7"/>
      <c r="H10" s="7"/>
      <c r="I10" s="7"/>
      <c r="K10" s="7"/>
      <c r="L10" s="7"/>
      <c r="M10" s="7"/>
      <c r="N10" s="56" t="s">
        <v>207</v>
      </c>
      <c r="O10" s="57"/>
      <c r="P10" s="13">
        <f>COUNTIF(J4:J9,"Missing")</f>
        <v>1</v>
      </c>
    </row>
    <row r="11" spans="1:16" ht="15.6" x14ac:dyDescent="0.3">
      <c r="A11" s="7"/>
      <c r="B11" s="7"/>
      <c r="C11" s="7"/>
      <c r="D11" s="7"/>
      <c r="E11" s="7"/>
      <c r="F11" s="7"/>
      <c r="G11" s="7"/>
      <c r="H11" s="7"/>
      <c r="I11" s="7"/>
      <c r="K11" s="7"/>
      <c r="L11" s="7"/>
      <c r="M11" s="7"/>
      <c r="N11" s="56" t="s">
        <v>76</v>
      </c>
      <c r="O11" s="57"/>
      <c r="P11" s="27">
        <f>P8/P4</f>
        <v>0.16666666666666666</v>
      </c>
    </row>
    <row r="12" spans="1:16" ht="15.6" x14ac:dyDescent="0.3">
      <c r="N12" s="56" t="s">
        <v>77</v>
      </c>
      <c r="O12" s="57"/>
      <c r="P12" s="13">
        <f>P5+P7+P9+P10</f>
        <v>3</v>
      </c>
    </row>
    <row r="13" spans="1:16" ht="15.6" x14ac:dyDescent="0.3">
      <c r="M13" s="54" t="s">
        <v>217</v>
      </c>
      <c r="N13" s="54"/>
      <c r="O13" s="54"/>
      <c r="P13" s="54"/>
    </row>
    <row r="14" spans="1:16" ht="49.2" customHeight="1" x14ac:dyDescent="0.3">
      <c r="F14" s="55" t="s">
        <v>218</v>
      </c>
      <c r="G14" s="55"/>
      <c r="H14" s="55"/>
      <c r="I14" s="55"/>
      <c r="J14" s="55"/>
      <c r="K14" s="55"/>
      <c r="L14" s="55"/>
      <c r="M14" s="55"/>
      <c r="N14" s="55"/>
      <c r="O14" s="55"/>
      <c r="P14" s="55"/>
    </row>
  </sheetData>
  <mergeCells count="14">
    <mergeCell ref="A1:P1"/>
    <mergeCell ref="N4:O4"/>
    <mergeCell ref="M13:P13"/>
    <mergeCell ref="F14:P14"/>
    <mergeCell ref="N11:O11"/>
    <mergeCell ref="N2:P3"/>
    <mergeCell ref="N12:O12"/>
    <mergeCell ref="N5:O5"/>
    <mergeCell ref="N6:O6"/>
    <mergeCell ref="N7:O7"/>
    <mergeCell ref="N8:O8"/>
    <mergeCell ref="N9:O9"/>
    <mergeCell ref="N10:O10"/>
    <mergeCell ref="A2:M2"/>
  </mergeCells>
  <conditionalFormatting sqref="H4:H9">
    <cfRule type="expression" dxfId="13" priority="1">
      <formula>AND($H4&lt;&gt;"",$H4&gt;=TODAY(),$H4&lt;=TODAY()+7,$J4&lt;&gt;"Accepted")</formula>
    </cfRule>
    <cfRule type="expression" dxfId="12" priority="2">
      <formula>AND($H4&lt;&gt;"",$H4&lt;TODAY(),$J4&lt;&gt;"Accepted")</formula>
    </cfRule>
  </conditionalFormatting>
  <conditionalFormatting sqref="H9">
    <cfRule type="expression" dxfId="11" priority="4">
      <formula>AND($H4&lt;&gt;"",$H4&lt;TODAY(),$J4&lt;&gt;"Accepted")</formula>
    </cfRule>
  </conditionalFormatting>
  <conditionalFormatting sqref="J4:J9">
    <cfRule type="containsText" dxfId="10" priority="10" operator="containsText" text="Not Requested">
      <formula>NOT(ISERROR(SEARCH("Not Requested",J4)))</formula>
    </cfRule>
    <cfRule type="containsText" dxfId="9" priority="11" operator="containsText" text="Missing">
      <formula>NOT(ISERROR(SEARCH("Missing",J4)))</formula>
    </cfRule>
    <cfRule type="containsText" dxfId="8" priority="12" operator="containsText" text="Needs Follow-up">
      <formula>NOT(ISERROR(SEARCH("Needs Follow-up",J4)))</formula>
    </cfRule>
    <cfRule type="containsText" dxfId="7" priority="13" operator="containsText" text="Requested">
      <formula>NOT(ISERROR(SEARCH("Requested",J4)))</formula>
    </cfRule>
    <cfRule type="containsText" dxfId="6" priority="14" operator="containsText" text="In Review">
      <formula>NOT(ISERROR(SEARCH("In Review",J4)))</formula>
    </cfRule>
    <cfRule type="containsText" dxfId="5" priority="15" operator="containsText" text="Received">
      <formula>NOT(ISERROR(SEARCH("Received",J4)))</formula>
    </cfRule>
    <cfRule type="containsText" dxfId="4" priority="16" operator="containsText" text="Accepted">
      <formula>NOT(ISERROR(SEARCH("Accepted",J4)))</formula>
    </cfRule>
  </conditionalFormatting>
  <conditionalFormatting sqref="K4:K9">
    <cfRule type="containsText" dxfId="3" priority="5" operator="containsText" text="Not Applicable">
      <formula>NOT(ISERROR(SEARCH("Not Applicable",K4)))</formula>
    </cfRule>
    <cfRule type="containsText" dxfId="2" priority="6" operator="containsText" text="Insufficient">
      <formula>NOT(ISERROR(SEARCH("Insufficient",K4)))</formula>
    </cfRule>
    <cfRule type="containsText" dxfId="1" priority="7" operator="containsText" text="Pending Review">
      <formula>NOT(ISERROR(SEARCH("Pending Review",K4)))</formula>
    </cfRule>
    <cfRule type="containsText" dxfId="0" priority="9" operator="containsText" text="Sufficient">
      <formula>NOT(ISERROR(SEARCH("Sufficient",K4)))</formula>
    </cfRule>
  </conditionalFormatting>
  <dataValidations count="3">
    <dataValidation type="list" allowBlank="1" showInputMessage="1" showErrorMessage="1" sqref="D4:D9" xr:uid="{6C6AAD4B-E37C-400C-B97A-2EB42C2E61C6}">
      <formula1>"Policy / Procedure,Test Result,Screenshot / Log Export,Vendor Documentation,Approval Record,Risk Assessment,Training Record,Meeting Notes,Other"</formula1>
    </dataValidation>
    <dataValidation type="list" allowBlank="1" showInputMessage="1" showErrorMessage="1" sqref="J4:J9" xr:uid="{66D8C063-1D14-479D-87E0-F89662F54252}">
      <formula1>"Not Requested,Requested,Received,In Review,Accepted,Needs Follow-Up,Missing"</formula1>
    </dataValidation>
    <dataValidation type="list" allowBlank="1" showInputMessage="1" showErrorMessage="1" sqref="K4:K9" xr:uid="{B7A894E9-177B-4041-AFCC-9654C86CAA76}">
      <formula1>"Pending Review,Sufficient,Insufficient,Not Applicable"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Toolkit Cover</vt:lpstr>
      <vt:lpstr>Sector Checklist</vt:lpstr>
      <vt:lpstr>AI Impact Assessment</vt:lpstr>
      <vt:lpstr>Evidence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rubin fletcher</dc:creator>
  <cp:lastModifiedBy>rubin fletcher</cp:lastModifiedBy>
  <dcterms:created xsi:type="dcterms:W3CDTF">2026-05-02T16:24:02Z</dcterms:created>
  <dcterms:modified xsi:type="dcterms:W3CDTF">2026-05-03T05:33:29Z</dcterms:modified>
</cp:coreProperties>
</file>